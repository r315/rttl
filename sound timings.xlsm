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2435" windowHeight="5205" activeTab="2"/>
  </bookViews>
  <sheets>
    <sheet name="PWM" sheetId="2" r:id="rId1"/>
    <sheet name="Sheet3" sheetId="3" r:id="rId2"/>
    <sheet name="Sheet1" sheetId="4" r:id="rId3"/>
  </sheets>
  <definedNames>
    <definedName name="_xlnm._FilterDatabase" localSheetId="0" hidden="1">PWM!$E$2:$H$2</definedName>
  </definedNames>
  <calcPr calcId="144525"/>
</workbook>
</file>

<file path=xl/calcChain.xml><?xml version="1.0" encoding="utf-8"?>
<calcChain xmlns="http://schemas.openxmlformats.org/spreadsheetml/2006/main">
  <c r="O17" i="4" l="1"/>
  <c r="O16" i="4"/>
  <c r="O15" i="4"/>
  <c r="O14" i="4"/>
  <c r="K13" i="4" l="1"/>
  <c r="K14" i="4" s="1"/>
  <c r="K16" i="4" s="1"/>
  <c r="K17" i="4" s="1"/>
  <c r="K6" i="4" l="1"/>
  <c r="K7" i="4" s="1"/>
  <c r="K9" i="4" s="1"/>
  <c r="H7" i="4"/>
  <c r="H8" i="4"/>
  <c r="H9" i="4"/>
  <c r="H10" i="4"/>
  <c r="H11" i="4"/>
  <c r="H12" i="4"/>
  <c r="H13" i="4"/>
  <c r="H14" i="4"/>
  <c r="H15" i="4"/>
  <c r="H16" i="4"/>
  <c r="H17" i="4"/>
  <c r="H6" i="4"/>
  <c r="G7" i="4"/>
  <c r="G8" i="4"/>
  <c r="G9" i="4"/>
  <c r="G10" i="4"/>
  <c r="G11" i="4"/>
  <c r="G12" i="4"/>
  <c r="G13" i="4"/>
  <c r="G14" i="4"/>
  <c r="G15" i="4"/>
  <c r="G16" i="4"/>
  <c r="G17" i="4"/>
  <c r="G6" i="4"/>
  <c r="F7" i="4"/>
  <c r="F8" i="4"/>
  <c r="F9" i="4"/>
  <c r="F10" i="4"/>
  <c r="F11" i="4"/>
  <c r="F12" i="4"/>
  <c r="F13" i="4"/>
  <c r="F14" i="4"/>
  <c r="F15" i="4"/>
  <c r="F16" i="4"/>
  <c r="F17" i="4"/>
  <c r="F6" i="4"/>
  <c r="F6" i="3"/>
  <c r="F7" i="3"/>
  <c r="F8" i="3"/>
  <c r="F9" i="3"/>
  <c r="F10" i="3"/>
  <c r="F11" i="3"/>
  <c r="F12" i="3"/>
  <c r="F14" i="3"/>
  <c r="F15" i="3"/>
  <c r="F16" i="3"/>
  <c r="F17" i="3"/>
  <c r="F18" i="3"/>
  <c r="F19" i="3"/>
  <c r="F20" i="3"/>
  <c r="F21" i="3"/>
  <c r="F22" i="3"/>
  <c r="F23" i="3"/>
  <c r="F24" i="3"/>
  <c r="F25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41" i="3"/>
  <c r="F42" i="3"/>
  <c r="F43" i="3"/>
  <c r="F44" i="3"/>
  <c r="F45" i="3"/>
  <c r="F46" i="3"/>
  <c r="F47" i="3"/>
  <c r="F48" i="3"/>
  <c r="F49" i="3"/>
  <c r="F50" i="3"/>
  <c r="F51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68" i="3"/>
  <c r="F69" i="3"/>
  <c r="F70" i="3"/>
  <c r="F71" i="3"/>
  <c r="F72" i="3"/>
  <c r="F73" i="3"/>
  <c r="F74" i="3"/>
  <c r="F75" i="3"/>
  <c r="F76" i="3"/>
  <c r="F77" i="3"/>
  <c r="F79" i="3"/>
  <c r="F80" i="3"/>
  <c r="F81" i="3"/>
  <c r="F82" i="3"/>
  <c r="F83" i="3"/>
  <c r="F84" i="3"/>
  <c r="F85" i="3"/>
  <c r="F86" i="3"/>
  <c r="F87" i="3"/>
  <c r="F88" i="3"/>
  <c r="F89" i="3"/>
  <c r="F90" i="3"/>
  <c r="F92" i="3"/>
  <c r="F93" i="3"/>
  <c r="F94" i="3"/>
  <c r="F95" i="3"/>
  <c r="F96" i="3"/>
  <c r="F97" i="3"/>
  <c r="F98" i="3"/>
  <c r="F99" i="3"/>
  <c r="F100" i="3"/>
  <c r="F101" i="3"/>
  <c r="F102" i="3"/>
  <c r="F103" i="3"/>
  <c r="F3" i="3"/>
  <c r="F4" i="3"/>
  <c r="F5" i="3"/>
  <c r="F2" i="3"/>
  <c r="F1" i="3"/>
</calcChain>
</file>

<file path=xl/sharedStrings.xml><?xml version="1.0" encoding="utf-8"?>
<sst xmlns="http://schemas.openxmlformats.org/spreadsheetml/2006/main" count="149" uniqueCount="48">
  <si>
    <t>Fosc</t>
  </si>
  <si>
    <t>PR2</t>
  </si>
  <si>
    <t>Frequency (Hz)</t>
  </si>
  <si>
    <t>Resolution bits</t>
  </si>
  <si>
    <t>Prescaler</t>
  </si>
  <si>
    <t>Mhz</t>
  </si>
  <si>
    <t>A</t>
  </si>
  <si>
    <t>A# / Bb</t>
  </si>
  <si>
    <t>B</t>
  </si>
  <si>
    <t>C</t>
  </si>
  <si>
    <t>C# / Db</t>
  </si>
  <si>
    <t>D</t>
  </si>
  <si>
    <t>D# / Eb</t>
  </si>
  <si>
    <t>E</t>
  </si>
  <si>
    <t>F</t>
  </si>
  <si>
    <t>F# / Gb</t>
  </si>
  <si>
    <t>G</t>
  </si>
  <si>
    <t>G# / Ab</t>
  </si>
  <si>
    <t>us</t>
  </si>
  <si>
    <t>Table from http://retired.beyondlogic.org/pic/ringtones.htm</t>
  </si>
  <si>
    <t>Notes</t>
  </si>
  <si>
    <t>A#</t>
  </si>
  <si>
    <t>C#</t>
  </si>
  <si>
    <t>D#</t>
  </si>
  <si>
    <t>G#</t>
  </si>
  <si>
    <t>F#</t>
  </si>
  <si>
    <t>Octaves</t>
  </si>
  <si>
    <t>Timer1 Prescaler[1,2,4,8]</t>
  </si>
  <si>
    <t>Timer1 CLK</t>
  </si>
  <si>
    <t>Desired frequency</t>
  </si>
  <si>
    <t>Timer1 Compare value</t>
  </si>
  <si>
    <t>hz</t>
  </si>
  <si>
    <t>Timer 1</t>
  </si>
  <si>
    <t>Timer 0</t>
  </si>
  <si>
    <t>Timer 0 prescaler</t>
  </si>
  <si>
    <t>Timer 0 Tick period</t>
  </si>
  <si>
    <t>Timer1 tick period</t>
  </si>
  <si>
    <t>Timer 0 clock freq</t>
  </si>
  <si>
    <t>Timer 0 overflow value</t>
  </si>
  <si>
    <t>Hz</t>
  </si>
  <si>
    <t>ms</t>
  </si>
  <si>
    <t>Intr frequency</t>
  </si>
  <si>
    <t>bpm</t>
  </si>
  <si>
    <t>Ritmo</t>
  </si>
  <si>
    <t>duração nota</t>
  </si>
  <si>
    <t>1/2 nota</t>
  </si>
  <si>
    <t>1/4 nota</t>
  </si>
  <si>
    <t>1/8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</si>
</sst>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00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left" vertical="center"/>
    </xf>
    <xf numFmtId="0" fontId="0" fillId="0" borderId="0" xfId="0" applyFill="1"/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right" vertical="center" wrapText="1"/>
    </xf>
    <xf numFmtId="0" fontId="0" fillId="0" borderId="0" xfId="0" applyAlignment="1">
      <alignment horizontal="right"/>
    </xf>
    <xf numFmtId="2" fontId="1" fillId="0" borderId="1" xfId="0" applyNumberFormat="1" applyFont="1" applyBorder="1" applyAlignment="1">
      <alignment horizontal="right" vertical="center" wrapText="1"/>
    </xf>
    <xf numFmtId="2" fontId="0" fillId="0" borderId="0" xfId="0" applyNumberFormat="1"/>
    <xf numFmtId="2" fontId="1" fillId="0" borderId="2" xfId="0" applyNumberFormat="1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3" xfId="0" applyFont="1" applyBorder="1" applyAlignment="1">
      <alignment vertical="center"/>
    </xf>
    <xf numFmtId="0" fontId="0" fillId="0" borderId="3" xfId="0" applyBorder="1"/>
    <xf numFmtId="0" fontId="0" fillId="6" borderId="0" xfId="0" applyFill="1"/>
    <xf numFmtId="0" fontId="0" fillId="5" borderId="0" xfId="0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0" borderId="6" xfId="0" applyBorder="1"/>
    <xf numFmtId="0" fontId="0" fillId="7" borderId="9" xfId="0" applyFill="1" applyBorder="1"/>
    <xf numFmtId="0" fontId="0" fillId="5" borderId="1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0" borderId="10" xfId="0" applyBorder="1"/>
    <xf numFmtId="0" fontId="0" fillId="7" borderId="11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3" borderId="0" xfId="0" applyFill="1"/>
    <xf numFmtId="0" fontId="0" fillId="4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</xdr:colOff>
      <xdr:row>4</xdr:row>
      <xdr:rowOff>38100</xdr:rowOff>
    </xdr:from>
    <xdr:ext cx="3257549" cy="6115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200775" y="800100"/>
              <a:ext cx="3257549" cy="61151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1100" b="0" i="1">
                        <a:latin typeface="Cambria Math"/>
                      </a:rPr>
                      <m:t>𝐹𝑝𝑤𝑚</m:t>
                    </m:r>
                    <m:r>
                      <a:rPr lang="pt-PT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pt-PT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/>
                          </a:rPr>
                          <m:t>𝐹𝑜𝑠𝑐</m:t>
                        </m:r>
                      </m:num>
                      <m:den>
                        <m:r>
                          <a:rPr lang="pt-PT" sz="1100" b="0" i="1">
                            <a:latin typeface="Cambria Math"/>
                          </a:rPr>
                          <m:t>(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pt-PT" sz="1100" b="0" i="1">
                                <a:latin typeface="Cambria Math"/>
                              </a:rPr>
                              <m:t>𝑃𝑅</m:t>
                            </m:r>
                            <m:r>
                              <a:rPr lang="pt-PT" sz="1100" b="0" i="1">
                                <a:latin typeface="Cambria Math"/>
                              </a:rPr>
                              <m:t>2+1</m:t>
                            </m:r>
                          </m:e>
                        </m:d>
                        <m:r>
                          <a:rPr lang="pt-PT" sz="1100" b="0" i="1">
                            <a:latin typeface="Cambria Math"/>
                          </a:rPr>
                          <m:t>∗4∗</m:t>
                        </m:r>
                        <m:r>
                          <a:rPr lang="pt-PT" sz="1100" b="0" i="1">
                            <a:latin typeface="Cambria Math"/>
                          </a:rPr>
                          <m:t>𝑃𝑟𝑒𝑠𝑐𝑎𝑙𝑒𝑟</m:t>
                        </m:r>
                        <m:r>
                          <a:rPr lang="pt-PT" sz="1100" b="0" i="1">
                            <a:latin typeface="Cambria Math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pt-PT" sz="1100" b="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200775" y="800100"/>
              <a:ext cx="3257549" cy="61151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PT" sz="1100" b="0" i="0">
                  <a:latin typeface="Cambria Math"/>
                </a:rPr>
                <a:t>𝐹𝑝𝑤𝑚=𝐹𝑜𝑠𝑐/(((𝑃𝑅2+1)∗4∗𝑃𝑟𝑒𝑠𝑐𝑎𝑙𝑒𝑟))</a:t>
              </a:r>
              <a:endParaRPr lang="pt-PT" sz="1100" b="0"/>
            </a:p>
            <a:p>
              <a:endParaRPr lang="pt-PT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152400</xdr:rowOff>
        </xdr:from>
        <xdr:to>
          <xdr:col>2</xdr:col>
          <xdr:colOff>552450</xdr:colOff>
          <xdr:row>6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2</xdr:col>
          <xdr:colOff>581025</xdr:colOff>
          <xdr:row>8</xdr:row>
          <xdr:rowOff>123825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9</xdr:col>
      <xdr:colOff>400049</xdr:colOff>
      <xdr:row>8</xdr:row>
      <xdr:rowOff>119062</xdr:rowOff>
    </xdr:from>
    <xdr:ext cx="2505075" cy="580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734174" y="1643062"/>
              <a:ext cx="2505075" cy="58099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1100" b="0" i="1">
                        <a:latin typeface="Cambria Math"/>
                      </a:rPr>
                      <m:t>𝑅𝑒𝑠𝑜𝑙𝑢𝑡𝑖𝑜𝑛</m:t>
                    </m:r>
                    <m:r>
                      <a:rPr lang="pt-PT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pt-PT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/>
                          </a:rPr>
                          <m:t>𝐿𝑜𝑔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PT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pt-PT" sz="1100" b="0" i="1">
                                    <a:latin typeface="Cambria Math"/>
                                  </a:rPr>
                                  <m:t>𝐹𝑜𝑠𝑐</m:t>
                                </m:r>
                              </m:num>
                              <m:den>
                                <m:r>
                                  <a:rPr lang="pt-PT" sz="1100" b="0" i="1">
                                    <a:latin typeface="Cambria Math"/>
                                  </a:rPr>
                                  <m:t>𝐹𝑝𝑤𝑚</m:t>
                                </m:r>
                              </m:den>
                            </m:f>
                          </m:e>
                        </m:d>
                      </m:num>
                      <m:den>
                        <m:r>
                          <a:rPr lang="pt-PT" sz="1100" b="0" i="1">
                            <a:latin typeface="Cambria Math"/>
                          </a:rPr>
                          <m:t>𝐿𝑜𝑔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pt-PT" sz="1100" b="0" i="1">
                                <a:latin typeface="Cambria Math"/>
                              </a:rPr>
                              <m:t>2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pt-PT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734174" y="1643062"/>
              <a:ext cx="2505075" cy="58099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PT" sz="1100" b="0" i="0">
                  <a:latin typeface="Cambria Math"/>
                </a:rPr>
                <a:t>𝑅𝑒𝑠𝑜𝑙𝑢𝑡𝑖𝑜𝑛=𝐿𝑜𝑔(𝐹𝑜𝑠𝑐/𝐹𝑝𝑤𝑚)/𝐿𝑜𝑔(2) </a:t>
              </a:r>
              <a:endParaRPr lang="pt-PT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800"/>
  <sheetViews>
    <sheetView workbookViewId="0">
      <selection activeCell="D134" sqref="D134"/>
    </sheetView>
  </sheetViews>
  <sheetFormatPr defaultRowHeight="15" x14ac:dyDescent="0.25"/>
  <cols>
    <col min="5" max="5" width="16.5703125" style="2" customWidth="1"/>
    <col min="6" max="6" width="14.42578125" bestFit="1" customWidth="1"/>
  </cols>
  <sheetData>
    <row r="2" spans="2:8" x14ac:dyDescent="0.25">
      <c r="B2" t="s">
        <v>0</v>
      </c>
      <c r="C2" s="1">
        <v>12</v>
      </c>
      <c r="D2" t="s">
        <v>5</v>
      </c>
      <c r="E2" s="3" t="s">
        <v>2</v>
      </c>
      <c r="F2" t="s">
        <v>3</v>
      </c>
      <c r="G2" t="s">
        <v>4</v>
      </c>
      <c r="H2" t="s">
        <v>1</v>
      </c>
    </row>
    <row r="3" spans="2:8" x14ac:dyDescent="0.25">
      <c r="C3" s="4"/>
      <c r="E3">
        <v>732.42</v>
      </c>
      <c r="F3">
        <v>10</v>
      </c>
      <c r="G3">
        <v>16</v>
      </c>
      <c r="H3">
        <v>255</v>
      </c>
    </row>
    <row r="4" spans="2:8" x14ac:dyDescent="0.25">
      <c r="E4">
        <v>735.29</v>
      </c>
      <c r="F4">
        <v>10</v>
      </c>
      <c r="G4">
        <v>16</v>
      </c>
      <c r="H4">
        <v>254</v>
      </c>
    </row>
    <row r="5" spans="2:8" x14ac:dyDescent="0.25">
      <c r="E5">
        <v>738.19</v>
      </c>
      <c r="F5">
        <v>10</v>
      </c>
      <c r="G5">
        <v>16</v>
      </c>
      <c r="H5">
        <v>253</v>
      </c>
    </row>
    <row r="6" spans="2:8" x14ac:dyDescent="0.25">
      <c r="E6">
        <v>741.11</v>
      </c>
      <c r="F6">
        <v>10</v>
      </c>
      <c r="G6">
        <v>16</v>
      </c>
      <c r="H6">
        <v>252</v>
      </c>
    </row>
    <row r="7" spans="2:8" x14ac:dyDescent="0.25">
      <c r="E7">
        <v>744.05</v>
      </c>
      <c r="F7">
        <v>10</v>
      </c>
      <c r="G7">
        <v>16</v>
      </c>
      <c r="H7">
        <v>251</v>
      </c>
    </row>
    <row r="8" spans="2:8" x14ac:dyDescent="0.25">
      <c r="E8">
        <v>747.01</v>
      </c>
      <c r="F8">
        <v>10</v>
      </c>
      <c r="G8">
        <v>16</v>
      </c>
      <c r="H8">
        <v>250</v>
      </c>
    </row>
    <row r="9" spans="2:8" x14ac:dyDescent="0.25">
      <c r="E9">
        <v>750</v>
      </c>
      <c r="F9">
        <v>10</v>
      </c>
      <c r="G9">
        <v>16</v>
      </c>
      <c r="H9">
        <v>249</v>
      </c>
    </row>
    <row r="10" spans="2:8" x14ac:dyDescent="0.25">
      <c r="E10">
        <v>753.01</v>
      </c>
      <c r="F10">
        <v>10</v>
      </c>
      <c r="G10">
        <v>16</v>
      </c>
      <c r="H10">
        <v>248</v>
      </c>
    </row>
    <row r="11" spans="2:8" x14ac:dyDescent="0.25">
      <c r="E11">
        <v>756.05</v>
      </c>
      <c r="F11">
        <v>10</v>
      </c>
      <c r="G11">
        <v>16</v>
      </c>
      <c r="H11">
        <v>247</v>
      </c>
    </row>
    <row r="12" spans="2:8" x14ac:dyDescent="0.25">
      <c r="E12">
        <v>759.11</v>
      </c>
      <c r="F12">
        <v>10</v>
      </c>
      <c r="G12">
        <v>16</v>
      </c>
      <c r="H12">
        <v>246</v>
      </c>
    </row>
    <row r="13" spans="2:8" x14ac:dyDescent="0.25">
      <c r="E13">
        <v>762.2</v>
      </c>
      <c r="F13">
        <v>10</v>
      </c>
      <c r="G13">
        <v>16</v>
      </c>
      <c r="H13">
        <v>245</v>
      </c>
    </row>
    <row r="14" spans="2:8" x14ac:dyDescent="0.25">
      <c r="E14">
        <v>765.31</v>
      </c>
      <c r="F14">
        <v>10</v>
      </c>
      <c r="G14">
        <v>16</v>
      </c>
      <c r="H14">
        <v>244</v>
      </c>
    </row>
    <row r="15" spans="2:8" x14ac:dyDescent="0.25">
      <c r="E15">
        <v>768.44</v>
      </c>
      <c r="F15">
        <v>10</v>
      </c>
      <c r="G15">
        <v>16</v>
      </c>
      <c r="H15">
        <v>243</v>
      </c>
    </row>
    <row r="16" spans="2:8" x14ac:dyDescent="0.25">
      <c r="E16">
        <v>771.6</v>
      </c>
      <c r="F16">
        <v>10</v>
      </c>
      <c r="G16">
        <v>16</v>
      </c>
      <c r="H16">
        <v>242</v>
      </c>
    </row>
    <row r="17" spans="5:8" x14ac:dyDescent="0.25">
      <c r="E17">
        <v>774.79</v>
      </c>
      <c r="F17">
        <v>10</v>
      </c>
      <c r="G17">
        <v>16</v>
      </c>
      <c r="H17">
        <v>241</v>
      </c>
    </row>
    <row r="18" spans="5:8" x14ac:dyDescent="0.25">
      <c r="E18">
        <v>778.01</v>
      </c>
      <c r="F18">
        <v>10</v>
      </c>
      <c r="G18">
        <v>16</v>
      </c>
      <c r="H18">
        <v>240</v>
      </c>
    </row>
    <row r="19" spans="5:8" x14ac:dyDescent="0.25">
      <c r="E19">
        <v>781.25</v>
      </c>
      <c r="F19">
        <v>10</v>
      </c>
      <c r="G19">
        <v>16</v>
      </c>
      <c r="H19">
        <v>239</v>
      </c>
    </row>
    <row r="20" spans="5:8" x14ac:dyDescent="0.25">
      <c r="E20">
        <v>784.52</v>
      </c>
      <c r="F20">
        <v>10</v>
      </c>
      <c r="G20">
        <v>16</v>
      </c>
      <c r="H20">
        <v>238</v>
      </c>
    </row>
    <row r="21" spans="5:8" x14ac:dyDescent="0.25">
      <c r="E21">
        <v>787.82</v>
      </c>
      <c r="F21">
        <v>10</v>
      </c>
      <c r="G21">
        <v>16</v>
      </c>
      <c r="H21">
        <v>237</v>
      </c>
    </row>
    <row r="22" spans="5:8" x14ac:dyDescent="0.25">
      <c r="E22">
        <v>791.14</v>
      </c>
      <c r="F22">
        <v>10</v>
      </c>
      <c r="G22">
        <v>16</v>
      </c>
      <c r="H22">
        <v>236</v>
      </c>
    </row>
    <row r="23" spans="5:8" x14ac:dyDescent="0.25">
      <c r="E23">
        <v>794.49</v>
      </c>
      <c r="F23">
        <v>10</v>
      </c>
      <c r="G23">
        <v>16</v>
      </c>
      <c r="H23">
        <v>235</v>
      </c>
    </row>
    <row r="24" spans="5:8" x14ac:dyDescent="0.25">
      <c r="E24">
        <v>797.87</v>
      </c>
      <c r="F24">
        <v>10</v>
      </c>
      <c r="G24">
        <v>16</v>
      </c>
      <c r="H24">
        <v>234</v>
      </c>
    </row>
    <row r="25" spans="5:8" x14ac:dyDescent="0.25">
      <c r="E25">
        <v>801.28</v>
      </c>
      <c r="F25">
        <v>10</v>
      </c>
      <c r="G25">
        <v>16</v>
      </c>
      <c r="H25">
        <v>233</v>
      </c>
    </row>
    <row r="26" spans="5:8" x14ac:dyDescent="0.25">
      <c r="E26">
        <v>804.72</v>
      </c>
      <c r="F26">
        <v>10</v>
      </c>
      <c r="G26">
        <v>16</v>
      </c>
      <c r="H26">
        <v>232</v>
      </c>
    </row>
    <row r="27" spans="5:8" x14ac:dyDescent="0.25">
      <c r="E27">
        <v>808.19</v>
      </c>
      <c r="F27">
        <v>10</v>
      </c>
      <c r="G27">
        <v>16</v>
      </c>
      <c r="H27">
        <v>231</v>
      </c>
    </row>
    <row r="28" spans="5:8" x14ac:dyDescent="0.25">
      <c r="E28">
        <v>811.69</v>
      </c>
      <c r="F28">
        <v>10</v>
      </c>
      <c r="G28">
        <v>16</v>
      </c>
      <c r="H28">
        <v>230</v>
      </c>
    </row>
    <row r="29" spans="5:8" x14ac:dyDescent="0.25">
      <c r="E29">
        <v>815.22</v>
      </c>
      <c r="F29">
        <v>10</v>
      </c>
      <c r="G29">
        <v>16</v>
      </c>
      <c r="H29">
        <v>229</v>
      </c>
    </row>
    <row r="30" spans="5:8" x14ac:dyDescent="0.25">
      <c r="E30">
        <v>818.78</v>
      </c>
      <c r="F30">
        <v>10</v>
      </c>
      <c r="G30">
        <v>16</v>
      </c>
      <c r="H30">
        <v>228</v>
      </c>
    </row>
    <row r="31" spans="5:8" x14ac:dyDescent="0.25">
      <c r="E31">
        <v>822.37</v>
      </c>
      <c r="F31">
        <v>10</v>
      </c>
      <c r="G31">
        <v>16</v>
      </c>
      <c r="H31">
        <v>227</v>
      </c>
    </row>
    <row r="32" spans="5:8" x14ac:dyDescent="0.25">
      <c r="E32">
        <v>825.99</v>
      </c>
      <c r="F32">
        <v>10</v>
      </c>
      <c r="G32">
        <v>16</v>
      </c>
      <c r="H32">
        <v>226</v>
      </c>
    </row>
    <row r="33" spans="5:8" x14ac:dyDescent="0.25">
      <c r="E33">
        <v>829.65</v>
      </c>
      <c r="F33">
        <v>10</v>
      </c>
      <c r="G33">
        <v>16</v>
      </c>
      <c r="H33">
        <v>225</v>
      </c>
    </row>
    <row r="34" spans="5:8" x14ac:dyDescent="0.25">
      <c r="E34">
        <v>833.33</v>
      </c>
      <c r="F34">
        <v>10</v>
      </c>
      <c r="G34">
        <v>16</v>
      </c>
      <c r="H34">
        <v>224</v>
      </c>
    </row>
    <row r="35" spans="5:8" x14ac:dyDescent="0.25">
      <c r="E35">
        <v>837.05</v>
      </c>
      <c r="F35">
        <v>10</v>
      </c>
      <c r="G35">
        <v>16</v>
      </c>
      <c r="H35">
        <v>223</v>
      </c>
    </row>
    <row r="36" spans="5:8" x14ac:dyDescent="0.25">
      <c r="E36">
        <v>840.81</v>
      </c>
      <c r="F36">
        <v>10</v>
      </c>
      <c r="G36">
        <v>16</v>
      </c>
      <c r="H36">
        <v>222</v>
      </c>
    </row>
    <row r="37" spans="5:8" x14ac:dyDescent="0.25">
      <c r="E37">
        <v>844.59</v>
      </c>
      <c r="F37">
        <v>10</v>
      </c>
      <c r="G37">
        <v>16</v>
      </c>
      <c r="H37">
        <v>221</v>
      </c>
    </row>
    <row r="38" spans="5:8" x14ac:dyDescent="0.25">
      <c r="E38">
        <v>848.42</v>
      </c>
      <c r="F38">
        <v>10</v>
      </c>
      <c r="G38">
        <v>16</v>
      </c>
      <c r="H38">
        <v>220</v>
      </c>
    </row>
    <row r="39" spans="5:8" x14ac:dyDescent="0.25">
      <c r="E39">
        <v>852.27</v>
      </c>
      <c r="F39">
        <v>10</v>
      </c>
      <c r="G39">
        <v>16</v>
      </c>
      <c r="H39">
        <v>219</v>
      </c>
    </row>
    <row r="40" spans="5:8" x14ac:dyDescent="0.25">
      <c r="E40">
        <v>856.16</v>
      </c>
      <c r="F40">
        <v>10</v>
      </c>
      <c r="G40">
        <v>16</v>
      </c>
      <c r="H40">
        <v>218</v>
      </c>
    </row>
    <row r="41" spans="5:8" x14ac:dyDescent="0.25">
      <c r="E41">
        <v>860.09</v>
      </c>
      <c r="F41">
        <v>10</v>
      </c>
      <c r="G41">
        <v>16</v>
      </c>
      <c r="H41">
        <v>217</v>
      </c>
    </row>
    <row r="42" spans="5:8" x14ac:dyDescent="0.25">
      <c r="E42">
        <v>864.06</v>
      </c>
      <c r="F42">
        <v>10</v>
      </c>
      <c r="G42">
        <v>16</v>
      </c>
      <c r="H42">
        <v>216</v>
      </c>
    </row>
    <row r="43" spans="5:8" x14ac:dyDescent="0.25">
      <c r="E43">
        <v>868.06</v>
      </c>
      <c r="F43">
        <v>10</v>
      </c>
      <c r="G43">
        <v>16</v>
      </c>
      <c r="H43">
        <v>215</v>
      </c>
    </row>
    <row r="44" spans="5:8" x14ac:dyDescent="0.25">
      <c r="E44">
        <v>872.09</v>
      </c>
      <c r="F44">
        <v>10</v>
      </c>
      <c r="G44">
        <v>16</v>
      </c>
      <c r="H44">
        <v>214</v>
      </c>
    </row>
    <row r="45" spans="5:8" x14ac:dyDescent="0.25">
      <c r="E45">
        <v>876.17</v>
      </c>
      <c r="F45">
        <v>10</v>
      </c>
      <c r="G45">
        <v>16</v>
      </c>
      <c r="H45">
        <v>213</v>
      </c>
    </row>
    <row r="46" spans="5:8" x14ac:dyDescent="0.25">
      <c r="E46">
        <v>880.28</v>
      </c>
      <c r="F46">
        <v>10</v>
      </c>
      <c r="G46">
        <v>16</v>
      </c>
      <c r="H46">
        <v>212</v>
      </c>
    </row>
    <row r="47" spans="5:8" x14ac:dyDescent="0.25">
      <c r="E47">
        <v>884.43</v>
      </c>
      <c r="F47">
        <v>10</v>
      </c>
      <c r="G47">
        <v>16</v>
      </c>
      <c r="H47">
        <v>211</v>
      </c>
    </row>
    <row r="48" spans="5:8" x14ac:dyDescent="0.25">
      <c r="E48">
        <v>888.63</v>
      </c>
      <c r="F48">
        <v>10</v>
      </c>
      <c r="G48">
        <v>16</v>
      </c>
      <c r="H48">
        <v>210</v>
      </c>
    </row>
    <row r="49" spans="5:8" x14ac:dyDescent="0.25">
      <c r="E49">
        <v>892.86</v>
      </c>
      <c r="F49">
        <v>10</v>
      </c>
      <c r="G49">
        <v>16</v>
      </c>
      <c r="H49">
        <v>209</v>
      </c>
    </row>
    <row r="50" spans="5:8" x14ac:dyDescent="0.25">
      <c r="E50">
        <v>897.13</v>
      </c>
      <c r="F50">
        <v>10</v>
      </c>
      <c r="G50">
        <v>16</v>
      </c>
      <c r="H50">
        <v>208</v>
      </c>
    </row>
    <row r="51" spans="5:8" x14ac:dyDescent="0.25">
      <c r="E51">
        <v>901.44</v>
      </c>
      <c r="F51">
        <v>10</v>
      </c>
      <c r="G51">
        <v>16</v>
      </c>
      <c r="H51">
        <v>207</v>
      </c>
    </row>
    <row r="52" spans="5:8" x14ac:dyDescent="0.25">
      <c r="E52">
        <v>905.8</v>
      </c>
      <c r="F52">
        <v>10</v>
      </c>
      <c r="G52">
        <v>16</v>
      </c>
      <c r="H52">
        <v>206</v>
      </c>
    </row>
    <row r="53" spans="5:8" x14ac:dyDescent="0.25">
      <c r="E53">
        <v>910.19</v>
      </c>
      <c r="F53">
        <v>10</v>
      </c>
      <c r="G53">
        <v>16</v>
      </c>
      <c r="H53">
        <v>205</v>
      </c>
    </row>
    <row r="54" spans="5:8" x14ac:dyDescent="0.25">
      <c r="E54">
        <v>914.63</v>
      </c>
      <c r="F54">
        <v>10</v>
      </c>
      <c r="G54">
        <v>16</v>
      </c>
      <c r="H54">
        <v>204</v>
      </c>
    </row>
    <row r="55" spans="5:8" x14ac:dyDescent="0.25">
      <c r="E55">
        <v>919.12</v>
      </c>
      <c r="F55">
        <v>10</v>
      </c>
      <c r="G55">
        <v>16</v>
      </c>
      <c r="H55">
        <v>203</v>
      </c>
    </row>
    <row r="56" spans="5:8" x14ac:dyDescent="0.25">
      <c r="E56">
        <v>923.65</v>
      </c>
      <c r="F56">
        <v>10</v>
      </c>
      <c r="G56">
        <v>16</v>
      </c>
      <c r="H56">
        <v>202</v>
      </c>
    </row>
    <row r="57" spans="5:8" x14ac:dyDescent="0.25">
      <c r="E57">
        <v>928.22</v>
      </c>
      <c r="F57">
        <v>10</v>
      </c>
      <c r="G57">
        <v>16</v>
      </c>
      <c r="H57">
        <v>201</v>
      </c>
    </row>
    <row r="58" spans="5:8" x14ac:dyDescent="0.25">
      <c r="E58">
        <v>932.84</v>
      </c>
      <c r="F58">
        <v>10</v>
      </c>
      <c r="G58">
        <v>16</v>
      </c>
      <c r="H58">
        <v>200</v>
      </c>
    </row>
    <row r="59" spans="5:8" x14ac:dyDescent="0.25">
      <c r="E59">
        <v>937.5</v>
      </c>
      <c r="F59">
        <v>10</v>
      </c>
      <c r="G59">
        <v>16</v>
      </c>
      <c r="H59">
        <v>199</v>
      </c>
    </row>
    <row r="60" spans="5:8" x14ac:dyDescent="0.25">
      <c r="E60">
        <v>942.21</v>
      </c>
      <c r="F60">
        <v>10</v>
      </c>
      <c r="G60">
        <v>16</v>
      </c>
      <c r="H60">
        <v>198</v>
      </c>
    </row>
    <row r="61" spans="5:8" x14ac:dyDescent="0.25">
      <c r="E61">
        <v>946.97</v>
      </c>
      <c r="F61">
        <v>10</v>
      </c>
      <c r="G61">
        <v>16</v>
      </c>
      <c r="H61">
        <v>197</v>
      </c>
    </row>
    <row r="62" spans="5:8" x14ac:dyDescent="0.25">
      <c r="E62">
        <v>951.78</v>
      </c>
      <c r="F62">
        <v>10</v>
      </c>
      <c r="G62">
        <v>16</v>
      </c>
      <c r="H62">
        <v>196</v>
      </c>
    </row>
    <row r="63" spans="5:8" x14ac:dyDescent="0.25">
      <c r="E63">
        <v>956.63</v>
      </c>
      <c r="F63">
        <v>10</v>
      </c>
      <c r="G63">
        <v>16</v>
      </c>
      <c r="H63">
        <v>195</v>
      </c>
    </row>
    <row r="64" spans="5:8" x14ac:dyDescent="0.25">
      <c r="E64">
        <v>961.54</v>
      </c>
      <c r="F64">
        <v>10</v>
      </c>
      <c r="G64">
        <v>16</v>
      </c>
      <c r="H64">
        <v>194</v>
      </c>
    </row>
    <row r="65" spans="5:8" x14ac:dyDescent="0.25">
      <c r="E65">
        <v>966.49</v>
      </c>
      <c r="F65">
        <v>10</v>
      </c>
      <c r="G65">
        <v>16</v>
      </c>
      <c r="H65">
        <v>193</v>
      </c>
    </row>
    <row r="66" spans="5:8" x14ac:dyDescent="0.25">
      <c r="E66">
        <v>971.5</v>
      </c>
      <c r="F66">
        <v>10</v>
      </c>
      <c r="G66">
        <v>16</v>
      </c>
      <c r="H66">
        <v>192</v>
      </c>
    </row>
    <row r="67" spans="5:8" x14ac:dyDescent="0.25">
      <c r="E67">
        <v>976.56</v>
      </c>
      <c r="F67">
        <v>10</v>
      </c>
      <c r="G67">
        <v>16</v>
      </c>
      <c r="H67">
        <v>191</v>
      </c>
    </row>
    <row r="68" spans="5:8" x14ac:dyDescent="0.25">
      <c r="E68">
        <v>981.68</v>
      </c>
      <c r="F68">
        <v>10</v>
      </c>
      <c r="G68">
        <v>16</v>
      </c>
      <c r="H68">
        <v>190</v>
      </c>
    </row>
    <row r="69" spans="5:8" x14ac:dyDescent="0.25">
      <c r="E69">
        <v>986.84</v>
      </c>
      <c r="F69">
        <v>10</v>
      </c>
      <c r="G69">
        <v>16</v>
      </c>
      <c r="H69">
        <v>189</v>
      </c>
    </row>
    <row r="70" spans="5:8" x14ac:dyDescent="0.25">
      <c r="E70">
        <v>992.06</v>
      </c>
      <c r="F70">
        <v>10</v>
      </c>
      <c r="G70">
        <v>16</v>
      </c>
      <c r="H70">
        <v>188</v>
      </c>
    </row>
    <row r="71" spans="5:8" x14ac:dyDescent="0.25">
      <c r="E71">
        <v>997.34</v>
      </c>
      <c r="F71">
        <v>10</v>
      </c>
      <c r="G71">
        <v>16</v>
      </c>
      <c r="H71">
        <v>187</v>
      </c>
    </row>
    <row r="72" spans="5:8" x14ac:dyDescent="0.25">
      <c r="E72">
        <v>1002.67</v>
      </c>
      <c r="F72">
        <v>10</v>
      </c>
      <c r="G72">
        <v>16</v>
      </c>
      <c r="H72">
        <v>186</v>
      </c>
    </row>
    <row r="73" spans="5:8" x14ac:dyDescent="0.25">
      <c r="E73">
        <v>1008.06</v>
      </c>
      <c r="F73">
        <v>10</v>
      </c>
      <c r="G73">
        <v>16</v>
      </c>
      <c r="H73">
        <v>185</v>
      </c>
    </row>
    <row r="74" spans="5:8" x14ac:dyDescent="0.25">
      <c r="E74">
        <v>1013.51</v>
      </c>
      <c r="F74">
        <v>10</v>
      </c>
      <c r="G74">
        <v>16</v>
      </c>
      <c r="H74">
        <v>184</v>
      </c>
    </row>
    <row r="75" spans="5:8" x14ac:dyDescent="0.25">
      <c r="E75">
        <v>1019.02</v>
      </c>
      <c r="F75">
        <v>10</v>
      </c>
      <c r="G75">
        <v>16</v>
      </c>
      <c r="H75">
        <v>183</v>
      </c>
    </row>
    <row r="76" spans="5:8" x14ac:dyDescent="0.25">
      <c r="E76">
        <v>1024.5899999999999</v>
      </c>
      <c r="F76">
        <v>10</v>
      </c>
      <c r="G76">
        <v>16</v>
      </c>
      <c r="H76">
        <v>182</v>
      </c>
    </row>
    <row r="77" spans="5:8" x14ac:dyDescent="0.25">
      <c r="E77">
        <v>1030.22</v>
      </c>
      <c r="F77">
        <v>10</v>
      </c>
      <c r="G77">
        <v>16</v>
      </c>
      <c r="H77">
        <v>181</v>
      </c>
    </row>
    <row r="78" spans="5:8" x14ac:dyDescent="0.25">
      <c r="E78">
        <v>1035.9100000000001</v>
      </c>
      <c r="F78">
        <v>10</v>
      </c>
      <c r="G78">
        <v>16</v>
      </c>
      <c r="H78">
        <v>180</v>
      </c>
    </row>
    <row r="79" spans="5:8" x14ac:dyDescent="0.25">
      <c r="E79">
        <v>1041.67</v>
      </c>
      <c r="F79">
        <v>10</v>
      </c>
      <c r="G79">
        <v>16</v>
      </c>
      <c r="H79">
        <v>179</v>
      </c>
    </row>
    <row r="80" spans="5:8" x14ac:dyDescent="0.25">
      <c r="E80">
        <v>1047.49</v>
      </c>
      <c r="F80">
        <v>10</v>
      </c>
      <c r="G80">
        <v>16</v>
      </c>
      <c r="H80">
        <v>178</v>
      </c>
    </row>
    <row r="81" spans="5:8" x14ac:dyDescent="0.25">
      <c r="E81">
        <v>1053.3699999999999</v>
      </c>
      <c r="F81">
        <v>10</v>
      </c>
      <c r="G81">
        <v>16</v>
      </c>
      <c r="H81">
        <v>177</v>
      </c>
    </row>
    <row r="82" spans="5:8" x14ac:dyDescent="0.25">
      <c r="E82">
        <v>1059.32</v>
      </c>
      <c r="F82">
        <v>10</v>
      </c>
      <c r="G82">
        <v>16</v>
      </c>
      <c r="H82">
        <v>176</v>
      </c>
    </row>
    <row r="83" spans="5:8" x14ac:dyDescent="0.25">
      <c r="E83">
        <v>1065.3399999999999</v>
      </c>
      <c r="F83">
        <v>10</v>
      </c>
      <c r="G83">
        <v>16</v>
      </c>
      <c r="H83">
        <v>175</v>
      </c>
    </row>
    <row r="84" spans="5:8" x14ac:dyDescent="0.25">
      <c r="E84">
        <v>1071.43</v>
      </c>
      <c r="F84">
        <v>10</v>
      </c>
      <c r="G84">
        <v>16</v>
      </c>
      <c r="H84">
        <v>174</v>
      </c>
    </row>
    <row r="85" spans="5:8" x14ac:dyDescent="0.25">
      <c r="E85">
        <v>1077.5899999999999</v>
      </c>
      <c r="F85">
        <v>10</v>
      </c>
      <c r="G85">
        <v>16</v>
      </c>
      <c r="H85">
        <v>173</v>
      </c>
    </row>
    <row r="86" spans="5:8" x14ac:dyDescent="0.25">
      <c r="E86">
        <v>1083.82</v>
      </c>
      <c r="F86">
        <v>10</v>
      </c>
      <c r="G86">
        <v>16</v>
      </c>
      <c r="H86">
        <v>172</v>
      </c>
    </row>
    <row r="87" spans="5:8" x14ac:dyDescent="0.25">
      <c r="E87">
        <v>1090.1199999999999</v>
      </c>
      <c r="F87">
        <v>10</v>
      </c>
      <c r="G87">
        <v>16</v>
      </c>
      <c r="H87">
        <v>171</v>
      </c>
    </row>
    <row r="88" spans="5:8" x14ac:dyDescent="0.25">
      <c r="E88">
        <v>1096.49</v>
      </c>
      <c r="F88">
        <v>10</v>
      </c>
      <c r="G88">
        <v>16</v>
      </c>
      <c r="H88">
        <v>170</v>
      </c>
    </row>
    <row r="89" spans="5:8" x14ac:dyDescent="0.25">
      <c r="E89">
        <v>1102.94</v>
      </c>
      <c r="F89">
        <v>10</v>
      </c>
      <c r="G89">
        <v>16</v>
      </c>
      <c r="H89">
        <v>169</v>
      </c>
    </row>
    <row r="90" spans="5:8" x14ac:dyDescent="0.25">
      <c r="E90">
        <v>1109.47</v>
      </c>
      <c r="F90">
        <v>10</v>
      </c>
      <c r="G90">
        <v>16</v>
      </c>
      <c r="H90">
        <v>168</v>
      </c>
    </row>
    <row r="91" spans="5:8" x14ac:dyDescent="0.25">
      <c r="E91">
        <v>1116.07</v>
      </c>
      <c r="F91">
        <v>10</v>
      </c>
      <c r="G91">
        <v>16</v>
      </c>
      <c r="H91">
        <v>167</v>
      </c>
    </row>
    <row r="92" spans="5:8" x14ac:dyDescent="0.25">
      <c r="E92">
        <v>1122.75</v>
      </c>
      <c r="F92">
        <v>10</v>
      </c>
      <c r="G92">
        <v>16</v>
      </c>
      <c r="H92">
        <v>166</v>
      </c>
    </row>
    <row r="93" spans="5:8" x14ac:dyDescent="0.25">
      <c r="E93">
        <v>1129.52</v>
      </c>
      <c r="F93">
        <v>10</v>
      </c>
      <c r="G93">
        <v>16</v>
      </c>
      <c r="H93">
        <v>165</v>
      </c>
    </row>
    <row r="94" spans="5:8" x14ac:dyDescent="0.25">
      <c r="E94">
        <v>1136.3599999999999</v>
      </c>
      <c r="F94">
        <v>10</v>
      </c>
      <c r="G94">
        <v>16</v>
      </c>
      <c r="H94">
        <v>164</v>
      </c>
    </row>
    <row r="95" spans="5:8" x14ac:dyDescent="0.25">
      <c r="E95">
        <v>1143.29</v>
      </c>
      <c r="F95">
        <v>10</v>
      </c>
      <c r="G95">
        <v>16</v>
      </c>
      <c r="H95">
        <v>163</v>
      </c>
    </row>
    <row r="96" spans="5:8" x14ac:dyDescent="0.25">
      <c r="E96">
        <v>1150.31</v>
      </c>
      <c r="F96">
        <v>10</v>
      </c>
      <c r="G96">
        <v>16</v>
      </c>
      <c r="H96">
        <v>162</v>
      </c>
    </row>
    <row r="97" spans="5:8" x14ac:dyDescent="0.25">
      <c r="E97">
        <v>1157.4100000000001</v>
      </c>
      <c r="F97">
        <v>10</v>
      </c>
      <c r="G97">
        <v>16</v>
      </c>
      <c r="H97">
        <v>161</v>
      </c>
    </row>
    <row r="98" spans="5:8" x14ac:dyDescent="0.25">
      <c r="E98">
        <v>1164.5999999999999</v>
      </c>
      <c r="F98">
        <v>10</v>
      </c>
      <c r="G98">
        <v>16</v>
      </c>
      <c r="H98">
        <v>160</v>
      </c>
    </row>
    <row r="99" spans="5:8" x14ac:dyDescent="0.25">
      <c r="E99">
        <v>1171.8800000000001</v>
      </c>
      <c r="F99">
        <v>10</v>
      </c>
      <c r="G99">
        <v>16</v>
      </c>
      <c r="H99">
        <v>159</v>
      </c>
    </row>
    <row r="100" spans="5:8" x14ac:dyDescent="0.25">
      <c r="E100">
        <v>1179.25</v>
      </c>
      <c r="F100">
        <v>10</v>
      </c>
      <c r="G100">
        <v>16</v>
      </c>
      <c r="H100">
        <v>158</v>
      </c>
    </row>
    <row r="101" spans="5:8" x14ac:dyDescent="0.25">
      <c r="E101">
        <v>1186.71</v>
      </c>
      <c r="F101">
        <v>10</v>
      </c>
      <c r="G101">
        <v>16</v>
      </c>
      <c r="H101">
        <v>157</v>
      </c>
    </row>
    <row r="102" spans="5:8" x14ac:dyDescent="0.25">
      <c r="E102">
        <v>1194.27</v>
      </c>
      <c r="F102">
        <v>10</v>
      </c>
      <c r="G102">
        <v>16</v>
      </c>
      <c r="H102">
        <v>156</v>
      </c>
    </row>
    <row r="103" spans="5:8" x14ac:dyDescent="0.25">
      <c r="E103">
        <v>1201.92</v>
      </c>
      <c r="F103">
        <v>10</v>
      </c>
      <c r="G103">
        <v>16</v>
      </c>
      <c r="H103">
        <v>155</v>
      </c>
    </row>
    <row r="104" spans="5:8" x14ac:dyDescent="0.25">
      <c r="E104">
        <v>1209.68</v>
      </c>
      <c r="F104">
        <v>10</v>
      </c>
      <c r="G104">
        <v>16</v>
      </c>
      <c r="H104">
        <v>154</v>
      </c>
    </row>
    <row r="105" spans="5:8" x14ac:dyDescent="0.25">
      <c r="E105">
        <v>1217.53</v>
      </c>
      <c r="F105">
        <v>10</v>
      </c>
      <c r="G105">
        <v>16</v>
      </c>
      <c r="H105">
        <v>153</v>
      </c>
    </row>
    <row r="106" spans="5:8" x14ac:dyDescent="0.25">
      <c r="E106">
        <v>1225.49</v>
      </c>
      <c r="F106">
        <v>10</v>
      </c>
      <c r="G106">
        <v>16</v>
      </c>
      <c r="H106">
        <v>152</v>
      </c>
    </row>
    <row r="107" spans="5:8" x14ac:dyDescent="0.25">
      <c r="E107">
        <v>1233.55</v>
      </c>
      <c r="F107">
        <v>10</v>
      </c>
      <c r="G107">
        <v>16</v>
      </c>
      <c r="H107">
        <v>151</v>
      </c>
    </row>
    <row r="108" spans="5:8" x14ac:dyDescent="0.25">
      <c r="E108">
        <v>1241.72</v>
      </c>
      <c r="F108">
        <v>10</v>
      </c>
      <c r="G108">
        <v>16</v>
      </c>
      <c r="H108">
        <v>150</v>
      </c>
    </row>
    <row r="109" spans="5:8" x14ac:dyDescent="0.25">
      <c r="E109">
        <v>1250</v>
      </c>
      <c r="F109">
        <v>10</v>
      </c>
      <c r="G109">
        <v>16</v>
      </c>
      <c r="H109">
        <v>149</v>
      </c>
    </row>
    <row r="110" spans="5:8" x14ac:dyDescent="0.25">
      <c r="E110">
        <v>1258.3900000000001</v>
      </c>
      <c r="F110">
        <v>10</v>
      </c>
      <c r="G110">
        <v>16</v>
      </c>
      <c r="H110">
        <v>148</v>
      </c>
    </row>
    <row r="111" spans="5:8" x14ac:dyDescent="0.25">
      <c r="E111">
        <v>1266.8900000000001</v>
      </c>
      <c r="F111">
        <v>10</v>
      </c>
      <c r="G111">
        <v>16</v>
      </c>
      <c r="H111">
        <v>147</v>
      </c>
    </row>
    <row r="112" spans="5:8" x14ac:dyDescent="0.25">
      <c r="E112">
        <v>1275.51</v>
      </c>
      <c r="F112">
        <v>10</v>
      </c>
      <c r="G112">
        <v>16</v>
      </c>
      <c r="H112">
        <v>146</v>
      </c>
    </row>
    <row r="113" spans="5:8" x14ac:dyDescent="0.25">
      <c r="E113">
        <v>1284.25</v>
      </c>
      <c r="F113">
        <v>10</v>
      </c>
      <c r="G113">
        <v>16</v>
      </c>
      <c r="H113">
        <v>145</v>
      </c>
    </row>
    <row r="114" spans="5:8" x14ac:dyDescent="0.25">
      <c r="E114">
        <v>1293.0999999999999</v>
      </c>
      <c r="F114">
        <v>10</v>
      </c>
      <c r="G114">
        <v>16</v>
      </c>
      <c r="H114">
        <v>144</v>
      </c>
    </row>
    <row r="115" spans="5:8" x14ac:dyDescent="0.25">
      <c r="E115">
        <v>1302.08</v>
      </c>
      <c r="F115">
        <v>10</v>
      </c>
      <c r="G115">
        <v>16</v>
      </c>
      <c r="H115">
        <v>143</v>
      </c>
    </row>
    <row r="116" spans="5:8" x14ac:dyDescent="0.25">
      <c r="E116">
        <v>1311.19</v>
      </c>
      <c r="F116">
        <v>10</v>
      </c>
      <c r="G116">
        <v>16</v>
      </c>
      <c r="H116">
        <v>142</v>
      </c>
    </row>
    <row r="117" spans="5:8" x14ac:dyDescent="0.25">
      <c r="E117">
        <v>1320.42</v>
      </c>
      <c r="F117">
        <v>10</v>
      </c>
      <c r="G117">
        <v>16</v>
      </c>
      <c r="H117">
        <v>141</v>
      </c>
    </row>
    <row r="118" spans="5:8" x14ac:dyDescent="0.25">
      <c r="E118">
        <v>1329.79</v>
      </c>
      <c r="F118">
        <v>10</v>
      </c>
      <c r="G118">
        <v>16</v>
      </c>
      <c r="H118">
        <v>140</v>
      </c>
    </row>
    <row r="119" spans="5:8" x14ac:dyDescent="0.25">
      <c r="E119">
        <v>1339.29</v>
      </c>
      <c r="F119">
        <v>10</v>
      </c>
      <c r="G119">
        <v>16</v>
      </c>
      <c r="H119">
        <v>139</v>
      </c>
    </row>
    <row r="120" spans="5:8" x14ac:dyDescent="0.25">
      <c r="E120">
        <v>1348.92</v>
      </c>
      <c r="F120">
        <v>10</v>
      </c>
      <c r="G120">
        <v>16</v>
      </c>
      <c r="H120">
        <v>138</v>
      </c>
    </row>
    <row r="121" spans="5:8" x14ac:dyDescent="0.25">
      <c r="E121">
        <v>1358.7</v>
      </c>
      <c r="F121">
        <v>10</v>
      </c>
      <c r="G121">
        <v>16</v>
      </c>
      <c r="H121">
        <v>137</v>
      </c>
    </row>
    <row r="122" spans="5:8" x14ac:dyDescent="0.25">
      <c r="E122">
        <v>1368.61</v>
      </c>
      <c r="F122">
        <v>10</v>
      </c>
      <c r="G122">
        <v>16</v>
      </c>
      <c r="H122">
        <v>136</v>
      </c>
    </row>
    <row r="123" spans="5:8" x14ac:dyDescent="0.25">
      <c r="E123">
        <v>1378.68</v>
      </c>
      <c r="F123">
        <v>10</v>
      </c>
      <c r="G123">
        <v>16</v>
      </c>
      <c r="H123">
        <v>135</v>
      </c>
    </row>
    <row r="124" spans="5:8" x14ac:dyDescent="0.25">
      <c r="E124">
        <v>1388.89</v>
      </c>
      <c r="F124">
        <v>10</v>
      </c>
      <c r="G124">
        <v>16</v>
      </c>
      <c r="H124">
        <v>134</v>
      </c>
    </row>
    <row r="125" spans="5:8" x14ac:dyDescent="0.25">
      <c r="E125">
        <v>1399.25</v>
      </c>
      <c r="F125">
        <v>10</v>
      </c>
      <c r="G125">
        <v>16</v>
      </c>
      <c r="H125">
        <v>133</v>
      </c>
    </row>
    <row r="126" spans="5:8" x14ac:dyDescent="0.25">
      <c r="E126">
        <v>1409.77</v>
      </c>
      <c r="F126">
        <v>10</v>
      </c>
      <c r="G126">
        <v>16</v>
      </c>
      <c r="H126">
        <v>132</v>
      </c>
    </row>
    <row r="127" spans="5:8" x14ac:dyDescent="0.25">
      <c r="E127">
        <v>1420.45</v>
      </c>
      <c r="F127">
        <v>10</v>
      </c>
      <c r="G127">
        <v>16</v>
      </c>
      <c r="H127">
        <v>131</v>
      </c>
    </row>
    <row r="128" spans="5:8" x14ac:dyDescent="0.25">
      <c r="E128">
        <v>1431.3</v>
      </c>
      <c r="F128">
        <v>10</v>
      </c>
      <c r="G128">
        <v>16</v>
      </c>
      <c r="H128">
        <v>130</v>
      </c>
    </row>
    <row r="129" spans="5:8" x14ac:dyDescent="0.25">
      <c r="E129">
        <v>1442.31</v>
      </c>
      <c r="F129">
        <v>10</v>
      </c>
      <c r="G129">
        <v>16</v>
      </c>
      <c r="H129">
        <v>129</v>
      </c>
    </row>
    <row r="130" spans="5:8" x14ac:dyDescent="0.25">
      <c r="E130">
        <v>1453.49</v>
      </c>
      <c r="F130">
        <v>10</v>
      </c>
      <c r="G130">
        <v>16</v>
      </c>
      <c r="H130">
        <v>128</v>
      </c>
    </row>
    <row r="131" spans="5:8" x14ac:dyDescent="0.25">
      <c r="E131">
        <v>1464.84</v>
      </c>
      <c r="F131">
        <v>10</v>
      </c>
      <c r="G131">
        <v>16</v>
      </c>
      <c r="H131">
        <v>127</v>
      </c>
    </row>
    <row r="132" spans="5:8" x14ac:dyDescent="0.25">
      <c r="E132">
        <v>1476.38</v>
      </c>
      <c r="F132">
        <v>10</v>
      </c>
      <c r="G132">
        <v>16</v>
      </c>
      <c r="H132">
        <v>126</v>
      </c>
    </row>
    <row r="133" spans="5:8" x14ac:dyDescent="0.25">
      <c r="E133">
        <v>1488.1</v>
      </c>
      <c r="F133">
        <v>10</v>
      </c>
      <c r="G133">
        <v>16</v>
      </c>
      <c r="H133">
        <v>125</v>
      </c>
    </row>
    <row r="134" spans="5:8" x14ac:dyDescent="0.25">
      <c r="E134">
        <v>1500</v>
      </c>
      <c r="F134">
        <v>10</v>
      </c>
      <c r="G134">
        <v>16</v>
      </c>
      <c r="H134">
        <v>124</v>
      </c>
    </row>
    <row r="135" spans="5:8" x14ac:dyDescent="0.25">
      <c r="E135">
        <v>1512.1</v>
      </c>
      <c r="F135">
        <v>10</v>
      </c>
      <c r="G135">
        <v>16</v>
      </c>
      <c r="H135">
        <v>123</v>
      </c>
    </row>
    <row r="136" spans="5:8" x14ac:dyDescent="0.25">
      <c r="E136">
        <v>1524.39</v>
      </c>
      <c r="F136">
        <v>10</v>
      </c>
      <c r="G136">
        <v>16</v>
      </c>
      <c r="H136">
        <v>122</v>
      </c>
    </row>
    <row r="137" spans="5:8" x14ac:dyDescent="0.25">
      <c r="E137">
        <v>1536.89</v>
      </c>
      <c r="F137">
        <v>10</v>
      </c>
      <c r="G137">
        <v>16</v>
      </c>
      <c r="H137">
        <v>121</v>
      </c>
    </row>
    <row r="138" spans="5:8" x14ac:dyDescent="0.25">
      <c r="E138">
        <v>1549.59</v>
      </c>
      <c r="F138">
        <v>10</v>
      </c>
      <c r="G138">
        <v>16</v>
      </c>
      <c r="H138">
        <v>120</v>
      </c>
    </row>
    <row r="139" spans="5:8" x14ac:dyDescent="0.25">
      <c r="E139">
        <v>1562.5</v>
      </c>
      <c r="F139">
        <v>10</v>
      </c>
      <c r="G139">
        <v>16</v>
      </c>
      <c r="H139">
        <v>119</v>
      </c>
    </row>
    <row r="140" spans="5:8" x14ac:dyDescent="0.25">
      <c r="E140">
        <v>1575.63</v>
      </c>
      <c r="F140">
        <v>10</v>
      </c>
      <c r="G140">
        <v>16</v>
      </c>
      <c r="H140">
        <v>118</v>
      </c>
    </row>
    <row r="141" spans="5:8" x14ac:dyDescent="0.25">
      <c r="E141">
        <v>1588.98</v>
      </c>
      <c r="F141">
        <v>10</v>
      </c>
      <c r="G141">
        <v>16</v>
      </c>
      <c r="H141">
        <v>117</v>
      </c>
    </row>
    <row r="142" spans="5:8" x14ac:dyDescent="0.25">
      <c r="E142">
        <v>1602.56</v>
      </c>
      <c r="F142">
        <v>10</v>
      </c>
      <c r="G142">
        <v>16</v>
      </c>
      <c r="H142">
        <v>116</v>
      </c>
    </row>
    <row r="143" spans="5:8" x14ac:dyDescent="0.25">
      <c r="E143">
        <v>1616.38</v>
      </c>
      <c r="F143">
        <v>10</v>
      </c>
      <c r="G143">
        <v>16</v>
      </c>
      <c r="H143">
        <v>115</v>
      </c>
    </row>
    <row r="144" spans="5:8" x14ac:dyDescent="0.25">
      <c r="E144">
        <v>1630.43</v>
      </c>
      <c r="F144">
        <v>10</v>
      </c>
      <c r="G144">
        <v>16</v>
      </c>
      <c r="H144">
        <v>114</v>
      </c>
    </row>
    <row r="145" spans="5:8" x14ac:dyDescent="0.25">
      <c r="E145">
        <v>1644.74</v>
      </c>
      <c r="F145">
        <v>10</v>
      </c>
      <c r="G145">
        <v>16</v>
      </c>
      <c r="H145">
        <v>113</v>
      </c>
    </row>
    <row r="146" spans="5:8" x14ac:dyDescent="0.25">
      <c r="E146">
        <v>1659.29</v>
      </c>
      <c r="F146">
        <v>10</v>
      </c>
      <c r="G146">
        <v>16</v>
      </c>
      <c r="H146">
        <v>112</v>
      </c>
    </row>
    <row r="147" spans="5:8" x14ac:dyDescent="0.25">
      <c r="E147">
        <v>1674.11</v>
      </c>
      <c r="F147">
        <v>10</v>
      </c>
      <c r="G147">
        <v>16</v>
      </c>
      <c r="H147">
        <v>111</v>
      </c>
    </row>
    <row r="148" spans="5:8" x14ac:dyDescent="0.25">
      <c r="E148">
        <v>1689.19</v>
      </c>
      <c r="F148">
        <v>10</v>
      </c>
      <c r="G148">
        <v>16</v>
      </c>
      <c r="H148">
        <v>110</v>
      </c>
    </row>
    <row r="149" spans="5:8" x14ac:dyDescent="0.25">
      <c r="E149">
        <v>1704.55</v>
      </c>
      <c r="F149">
        <v>10</v>
      </c>
      <c r="G149">
        <v>16</v>
      </c>
      <c r="H149">
        <v>109</v>
      </c>
    </row>
    <row r="150" spans="5:8" x14ac:dyDescent="0.25">
      <c r="E150">
        <v>1720.18</v>
      </c>
      <c r="F150">
        <v>10</v>
      </c>
      <c r="G150">
        <v>16</v>
      </c>
      <c r="H150">
        <v>108</v>
      </c>
    </row>
    <row r="151" spans="5:8" x14ac:dyDescent="0.25">
      <c r="E151">
        <v>1736.11</v>
      </c>
      <c r="F151">
        <v>10</v>
      </c>
      <c r="G151">
        <v>16</v>
      </c>
      <c r="H151">
        <v>107</v>
      </c>
    </row>
    <row r="152" spans="5:8" x14ac:dyDescent="0.25">
      <c r="E152">
        <v>1752.34</v>
      </c>
      <c r="F152">
        <v>10</v>
      </c>
      <c r="G152">
        <v>16</v>
      </c>
      <c r="H152">
        <v>106</v>
      </c>
    </row>
    <row r="153" spans="5:8" x14ac:dyDescent="0.25">
      <c r="E153">
        <v>1768.87</v>
      </c>
      <c r="F153">
        <v>10</v>
      </c>
      <c r="G153">
        <v>16</v>
      </c>
      <c r="H153">
        <v>105</v>
      </c>
    </row>
    <row r="154" spans="5:8" x14ac:dyDescent="0.25">
      <c r="E154">
        <v>1785.71</v>
      </c>
      <c r="F154">
        <v>10</v>
      </c>
      <c r="G154">
        <v>16</v>
      </c>
      <c r="H154">
        <v>104</v>
      </c>
    </row>
    <row r="155" spans="5:8" x14ac:dyDescent="0.25">
      <c r="E155">
        <v>1802.88</v>
      </c>
      <c r="F155">
        <v>10</v>
      </c>
      <c r="G155">
        <v>16</v>
      </c>
      <c r="H155">
        <v>103</v>
      </c>
    </row>
    <row r="156" spans="5:8" x14ac:dyDescent="0.25">
      <c r="E156">
        <v>1820.39</v>
      </c>
      <c r="F156">
        <v>10</v>
      </c>
      <c r="G156">
        <v>16</v>
      </c>
      <c r="H156">
        <v>102</v>
      </c>
    </row>
    <row r="157" spans="5:8" x14ac:dyDescent="0.25">
      <c r="E157">
        <v>1838.24</v>
      </c>
      <c r="F157">
        <v>10</v>
      </c>
      <c r="G157">
        <v>16</v>
      </c>
      <c r="H157">
        <v>101</v>
      </c>
    </row>
    <row r="158" spans="5:8" x14ac:dyDescent="0.25">
      <c r="E158">
        <v>1856.44</v>
      </c>
      <c r="F158">
        <v>10</v>
      </c>
      <c r="G158">
        <v>16</v>
      </c>
      <c r="H158">
        <v>100</v>
      </c>
    </row>
    <row r="159" spans="5:8" x14ac:dyDescent="0.25">
      <c r="E159">
        <v>1875</v>
      </c>
      <c r="F159">
        <v>10</v>
      </c>
      <c r="G159">
        <v>16</v>
      </c>
      <c r="H159">
        <v>99</v>
      </c>
    </row>
    <row r="160" spans="5:8" x14ac:dyDescent="0.25">
      <c r="E160">
        <v>1893.94</v>
      </c>
      <c r="F160">
        <v>10</v>
      </c>
      <c r="G160">
        <v>16</v>
      </c>
      <c r="H160">
        <v>98</v>
      </c>
    </row>
    <row r="161" spans="5:8" x14ac:dyDescent="0.25">
      <c r="E161">
        <v>1913.27</v>
      </c>
      <c r="F161">
        <v>10</v>
      </c>
      <c r="G161">
        <v>16</v>
      </c>
      <c r="H161">
        <v>97</v>
      </c>
    </row>
    <row r="162" spans="5:8" x14ac:dyDescent="0.25">
      <c r="E162">
        <v>1932.99</v>
      </c>
      <c r="F162">
        <v>10</v>
      </c>
      <c r="G162">
        <v>16</v>
      </c>
      <c r="H162">
        <v>96</v>
      </c>
    </row>
    <row r="163" spans="5:8" x14ac:dyDescent="0.25">
      <c r="E163">
        <v>1953.12</v>
      </c>
      <c r="F163">
        <v>10</v>
      </c>
      <c r="G163">
        <v>16</v>
      </c>
      <c r="H163">
        <v>95</v>
      </c>
    </row>
    <row r="164" spans="5:8" x14ac:dyDescent="0.25">
      <c r="E164">
        <v>1973.68</v>
      </c>
      <c r="F164">
        <v>10</v>
      </c>
      <c r="G164">
        <v>16</v>
      </c>
      <c r="H164">
        <v>94</v>
      </c>
    </row>
    <row r="165" spans="5:8" x14ac:dyDescent="0.25">
      <c r="E165">
        <v>1994.68</v>
      </c>
      <c r="F165">
        <v>10</v>
      </c>
      <c r="G165">
        <v>16</v>
      </c>
      <c r="H165">
        <v>93</v>
      </c>
    </row>
    <row r="166" spans="5:8" x14ac:dyDescent="0.25">
      <c r="E166">
        <v>2016.13</v>
      </c>
      <c r="F166">
        <v>10</v>
      </c>
      <c r="G166">
        <v>16</v>
      </c>
      <c r="H166">
        <v>92</v>
      </c>
    </row>
    <row r="167" spans="5:8" x14ac:dyDescent="0.25">
      <c r="E167">
        <v>2038.04</v>
      </c>
      <c r="F167">
        <v>10</v>
      </c>
      <c r="G167">
        <v>16</v>
      </c>
      <c r="H167">
        <v>91</v>
      </c>
    </row>
    <row r="168" spans="5:8" x14ac:dyDescent="0.25">
      <c r="E168">
        <v>2060.44</v>
      </c>
      <c r="F168">
        <v>10</v>
      </c>
      <c r="G168">
        <v>16</v>
      </c>
      <c r="H168">
        <v>90</v>
      </c>
    </row>
    <row r="169" spans="5:8" x14ac:dyDescent="0.25">
      <c r="E169">
        <v>2083.33</v>
      </c>
      <c r="F169">
        <v>10</v>
      </c>
      <c r="G169">
        <v>16</v>
      </c>
      <c r="H169">
        <v>89</v>
      </c>
    </row>
    <row r="170" spans="5:8" x14ac:dyDescent="0.25">
      <c r="E170">
        <v>2106.7399999999998</v>
      </c>
      <c r="F170">
        <v>10</v>
      </c>
      <c r="G170">
        <v>16</v>
      </c>
      <c r="H170">
        <v>88</v>
      </c>
    </row>
    <row r="171" spans="5:8" x14ac:dyDescent="0.25">
      <c r="E171">
        <v>2130.6799999999998</v>
      </c>
      <c r="F171">
        <v>10</v>
      </c>
      <c r="G171">
        <v>16</v>
      </c>
      <c r="H171">
        <v>87</v>
      </c>
    </row>
    <row r="172" spans="5:8" x14ac:dyDescent="0.25">
      <c r="E172">
        <v>2155.17</v>
      </c>
      <c r="F172">
        <v>10</v>
      </c>
      <c r="G172">
        <v>16</v>
      </c>
      <c r="H172">
        <v>86</v>
      </c>
    </row>
    <row r="173" spans="5:8" x14ac:dyDescent="0.25">
      <c r="E173">
        <v>2180.23</v>
      </c>
      <c r="F173">
        <v>10</v>
      </c>
      <c r="G173">
        <v>16</v>
      </c>
      <c r="H173">
        <v>85</v>
      </c>
    </row>
    <row r="174" spans="5:8" x14ac:dyDescent="0.25">
      <c r="E174">
        <v>2205.88</v>
      </c>
      <c r="F174">
        <v>10</v>
      </c>
      <c r="G174">
        <v>16</v>
      </c>
      <c r="H174">
        <v>84</v>
      </c>
    </row>
    <row r="175" spans="5:8" x14ac:dyDescent="0.25">
      <c r="E175">
        <v>2232.14</v>
      </c>
      <c r="F175">
        <v>10</v>
      </c>
      <c r="G175">
        <v>16</v>
      </c>
      <c r="H175">
        <v>83</v>
      </c>
    </row>
    <row r="176" spans="5:8" x14ac:dyDescent="0.25">
      <c r="E176">
        <v>2259.04</v>
      </c>
      <c r="F176">
        <v>10</v>
      </c>
      <c r="G176">
        <v>16</v>
      </c>
      <c r="H176">
        <v>82</v>
      </c>
    </row>
    <row r="177" spans="5:8" x14ac:dyDescent="0.25">
      <c r="E177">
        <v>2286.59</v>
      </c>
      <c r="F177">
        <v>10</v>
      </c>
      <c r="G177">
        <v>16</v>
      </c>
      <c r="H177">
        <v>81</v>
      </c>
    </row>
    <row r="178" spans="5:8" x14ac:dyDescent="0.25">
      <c r="E178">
        <v>2314.81</v>
      </c>
      <c r="F178">
        <v>10</v>
      </c>
      <c r="G178">
        <v>16</v>
      </c>
      <c r="H178">
        <v>80</v>
      </c>
    </row>
    <row r="179" spans="5:8" x14ac:dyDescent="0.25">
      <c r="E179">
        <v>2343.75</v>
      </c>
      <c r="F179">
        <v>10</v>
      </c>
      <c r="G179">
        <v>16</v>
      </c>
      <c r="H179">
        <v>79</v>
      </c>
    </row>
    <row r="180" spans="5:8" x14ac:dyDescent="0.25">
      <c r="E180">
        <v>2373.42</v>
      </c>
      <c r="F180">
        <v>10</v>
      </c>
      <c r="G180">
        <v>16</v>
      </c>
      <c r="H180">
        <v>78</v>
      </c>
    </row>
    <row r="181" spans="5:8" x14ac:dyDescent="0.25">
      <c r="E181">
        <v>2403.85</v>
      </c>
      <c r="F181">
        <v>10</v>
      </c>
      <c r="G181">
        <v>16</v>
      </c>
      <c r="H181">
        <v>77</v>
      </c>
    </row>
    <row r="182" spans="5:8" x14ac:dyDescent="0.25">
      <c r="E182">
        <v>2435.06</v>
      </c>
      <c r="F182">
        <v>10</v>
      </c>
      <c r="G182">
        <v>16</v>
      </c>
      <c r="H182">
        <v>76</v>
      </c>
    </row>
    <row r="183" spans="5:8" x14ac:dyDescent="0.25">
      <c r="E183">
        <v>2467.11</v>
      </c>
      <c r="F183">
        <v>10</v>
      </c>
      <c r="G183">
        <v>16</v>
      </c>
      <c r="H183">
        <v>75</v>
      </c>
    </row>
    <row r="184" spans="5:8" x14ac:dyDescent="0.25">
      <c r="E184">
        <v>2500</v>
      </c>
      <c r="F184">
        <v>10</v>
      </c>
      <c r="G184">
        <v>16</v>
      </c>
      <c r="H184">
        <v>74</v>
      </c>
    </row>
    <row r="185" spans="5:8" x14ac:dyDescent="0.25">
      <c r="E185">
        <v>2533.7800000000002</v>
      </c>
      <c r="F185">
        <v>10</v>
      </c>
      <c r="G185">
        <v>16</v>
      </c>
      <c r="H185">
        <v>73</v>
      </c>
    </row>
    <row r="186" spans="5:8" x14ac:dyDescent="0.25">
      <c r="E186">
        <v>2568.4899999999998</v>
      </c>
      <c r="F186">
        <v>10</v>
      </c>
      <c r="G186">
        <v>16</v>
      </c>
      <c r="H186">
        <v>72</v>
      </c>
    </row>
    <row r="187" spans="5:8" x14ac:dyDescent="0.25">
      <c r="E187">
        <v>2604.17</v>
      </c>
      <c r="F187">
        <v>10</v>
      </c>
      <c r="G187">
        <v>16</v>
      </c>
      <c r="H187">
        <v>71</v>
      </c>
    </row>
    <row r="188" spans="5:8" x14ac:dyDescent="0.25">
      <c r="E188">
        <v>2640.85</v>
      </c>
      <c r="F188">
        <v>10</v>
      </c>
      <c r="G188">
        <v>16</v>
      </c>
      <c r="H188">
        <v>70</v>
      </c>
    </row>
    <row r="189" spans="5:8" x14ac:dyDescent="0.25">
      <c r="E189">
        <v>2678.57</v>
      </c>
      <c r="F189">
        <v>10</v>
      </c>
      <c r="G189">
        <v>16</v>
      </c>
      <c r="H189">
        <v>69</v>
      </c>
    </row>
    <row r="190" spans="5:8" x14ac:dyDescent="0.25">
      <c r="E190">
        <v>2717.39</v>
      </c>
      <c r="F190">
        <v>10</v>
      </c>
      <c r="G190">
        <v>16</v>
      </c>
      <c r="H190">
        <v>68</v>
      </c>
    </row>
    <row r="191" spans="5:8" x14ac:dyDescent="0.25">
      <c r="E191">
        <v>2757.35</v>
      </c>
      <c r="F191">
        <v>10</v>
      </c>
      <c r="G191">
        <v>16</v>
      </c>
      <c r="H191">
        <v>67</v>
      </c>
    </row>
    <row r="192" spans="5:8" x14ac:dyDescent="0.25">
      <c r="E192">
        <v>2798.51</v>
      </c>
      <c r="F192">
        <v>10</v>
      </c>
      <c r="G192">
        <v>16</v>
      </c>
      <c r="H192">
        <v>66</v>
      </c>
    </row>
    <row r="193" spans="5:8" x14ac:dyDescent="0.25">
      <c r="E193">
        <v>2840.91</v>
      </c>
      <c r="F193">
        <v>10</v>
      </c>
      <c r="G193">
        <v>16</v>
      </c>
      <c r="H193">
        <v>65</v>
      </c>
    </row>
    <row r="194" spans="5:8" x14ac:dyDescent="0.25">
      <c r="E194">
        <v>2884.62</v>
      </c>
      <c r="F194">
        <v>10</v>
      </c>
      <c r="G194">
        <v>16</v>
      </c>
      <c r="H194">
        <v>64</v>
      </c>
    </row>
    <row r="195" spans="5:8" x14ac:dyDescent="0.25">
      <c r="E195">
        <v>2929.69</v>
      </c>
      <c r="F195">
        <v>10</v>
      </c>
      <c r="G195">
        <v>4</v>
      </c>
      <c r="H195">
        <v>255</v>
      </c>
    </row>
    <row r="196" spans="5:8" x14ac:dyDescent="0.25">
      <c r="E196">
        <v>2929.69</v>
      </c>
      <c r="F196">
        <v>10</v>
      </c>
      <c r="G196">
        <v>16</v>
      </c>
      <c r="H196">
        <v>63</v>
      </c>
    </row>
    <row r="197" spans="5:8" x14ac:dyDescent="0.25">
      <c r="E197">
        <v>2941.18</v>
      </c>
      <c r="F197">
        <v>10</v>
      </c>
      <c r="G197">
        <v>4</v>
      </c>
      <c r="H197">
        <v>254</v>
      </c>
    </row>
    <row r="198" spans="5:8" x14ac:dyDescent="0.25">
      <c r="E198">
        <v>2952.76</v>
      </c>
      <c r="F198">
        <v>10</v>
      </c>
      <c r="G198">
        <v>4</v>
      </c>
      <c r="H198">
        <v>253</v>
      </c>
    </row>
    <row r="199" spans="5:8" x14ac:dyDescent="0.25">
      <c r="E199">
        <v>2964.43</v>
      </c>
      <c r="F199">
        <v>10</v>
      </c>
      <c r="G199">
        <v>4</v>
      </c>
      <c r="H199">
        <v>252</v>
      </c>
    </row>
    <row r="200" spans="5:8" x14ac:dyDescent="0.25">
      <c r="E200">
        <v>2976.19</v>
      </c>
      <c r="F200">
        <v>10</v>
      </c>
      <c r="G200">
        <v>4</v>
      </c>
      <c r="H200">
        <v>251</v>
      </c>
    </row>
    <row r="201" spans="5:8" x14ac:dyDescent="0.25">
      <c r="E201">
        <v>2976.19</v>
      </c>
      <c r="F201">
        <v>10</v>
      </c>
      <c r="G201">
        <v>16</v>
      </c>
      <c r="H201">
        <v>62</v>
      </c>
    </row>
    <row r="202" spans="5:8" x14ac:dyDescent="0.25">
      <c r="E202">
        <v>2988.05</v>
      </c>
      <c r="F202">
        <v>10</v>
      </c>
      <c r="G202">
        <v>4</v>
      </c>
      <c r="H202">
        <v>250</v>
      </c>
    </row>
    <row r="203" spans="5:8" x14ac:dyDescent="0.25">
      <c r="E203">
        <v>3000</v>
      </c>
      <c r="F203">
        <v>10</v>
      </c>
      <c r="G203">
        <v>4</v>
      </c>
      <c r="H203">
        <v>249</v>
      </c>
    </row>
    <row r="204" spans="5:8" x14ac:dyDescent="0.25">
      <c r="E204">
        <v>3012.05</v>
      </c>
      <c r="F204">
        <v>10</v>
      </c>
      <c r="G204">
        <v>4</v>
      </c>
      <c r="H204">
        <v>248</v>
      </c>
    </row>
    <row r="205" spans="5:8" x14ac:dyDescent="0.25">
      <c r="E205">
        <v>3024.19</v>
      </c>
      <c r="F205">
        <v>10</v>
      </c>
      <c r="G205">
        <v>4</v>
      </c>
      <c r="H205">
        <v>247</v>
      </c>
    </row>
    <row r="206" spans="5:8" x14ac:dyDescent="0.25">
      <c r="E206">
        <v>3024.19</v>
      </c>
      <c r="F206">
        <v>10</v>
      </c>
      <c r="G206">
        <v>16</v>
      </c>
      <c r="H206">
        <v>61</v>
      </c>
    </row>
    <row r="207" spans="5:8" x14ac:dyDescent="0.25">
      <c r="E207">
        <v>3036.44</v>
      </c>
      <c r="F207">
        <v>10</v>
      </c>
      <c r="G207">
        <v>4</v>
      </c>
      <c r="H207">
        <v>246</v>
      </c>
    </row>
    <row r="208" spans="5:8" x14ac:dyDescent="0.25">
      <c r="E208">
        <v>3048.78</v>
      </c>
      <c r="F208">
        <v>10</v>
      </c>
      <c r="G208">
        <v>4</v>
      </c>
      <c r="H208">
        <v>245</v>
      </c>
    </row>
    <row r="209" spans="5:8" x14ac:dyDescent="0.25">
      <c r="E209">
        <v>3061.22</v>
      </c>
      <c r="F209">
        <v>10</v>
      </c>
      <c r="G209">
        <v>4</v>
      </c>
      <c r="H209">
        <v>244</v>
      </c>
    </row>
    <row r="210" spans="5:8" x14ac:dyDescent="0.25">
      <c r="E210">
        <v>3073.77</v>
      </c>
      <c r="F210">
        <v>10</v>
      </c>
      <c r="G210">
        <v>4</v>
      </c>
      <c r="H210">
        <v>243</v>
      </c>
    </row>
    <row r="211" spans="5:8" x14ac:dyDescent="0.25">
      <c r="E211">
        <v>3073.77</v>
      </c>
      <c r="F211">
        <v>10</v>
      </c>
      <c r="G211">
        <v>16</v>
      </c>
      <c r="H211">
        <v>60</v>
      </c>
    </row>
    <row r="212" spans="5:8" x14ac:dyDescent="0.25">
      <c r="E212">
        <v>3086.42</v>
      </c>
      <c r="F212">
        <v>10</v>
      </c>
      <c r="G212">
        <v>4</v>
      </c>
      <c r="H212">
        <v>242</v>
      </c>
    </row>
    <row r="213" spans="5:8" x14ac:dyDescent="0.25">
      <c r="E213">
        <v>3099.17</v>
      </c>
      <c r="F213">
        <v>10</v>
      </c>
      <c r="G213">
        <v>4</v>
      </c>
      <c r="H213">
        <v>241</v>
      </c>
    </row>
    <row r="214" spans="5:8" x14ac:dyDescent="0.25">
      <c r="E214">
        <v>3112.03</v>
      </c>
      <c r="F214">
        <v>10</v>
      </c>
      <c r="G214">
        <v>4</v>
      </c>
      <c r="H214">
        <v>240</v>
      </c>
    </row>
    <row r="215" spans="5:8" x14ac:dyDescent="0.25">
      <c r="E215">
        <v>3125</v>
      </c>
      <c r="F215">
        <v>10</v>
      </c>
      <c r="G215">
        <v>4</v>
      </c>
      <c r="H215">
        <v>239</v>
      </c>
    </row>
    <row r="216" spans="5:8" x14ac:dyDescent="0.25">
      <c r="E216">
        <v>3125</v>
      </c>
      <c r="F216">
        <v>10</v>
      </c>
      <c r="G216">
        <v>16</v>
      </c>
      <c r="H216">
        <v>59</v>
      </c>
    </row>
    <row r="217" spans="5:8" x14ac:dyDescent="0.25">
      <c r="E217">
        <v>3138.08</v>
      </c>
      <c r="F217">
        <v>10</v>
      </c>
      <c r="G217">
        <v>4</v>
      </c>
      <c r="H217">
        <v>238</v>
      </c>
    </row>
    <row r="218" spans="5:8" x14ac:dyDescent="0.25">
      <c r="E218">
        <v>3151.26</v>
      </c>
      <c r="F218">
        <v>10</v>
      </c>
      <c r="G218">
        <v>4</v>
      </c>
      <c r="H218">
        <v>237</v>
      </c>
    </row>
    <row r="219" spans="5:8" x14ac:dyDescent="0.25">
      <c r="E219">
        <v>3164.56</v>
      </c>
      <c r="F219">
        <v>10</v>
      </c>
      <c r="G219">
        <v>4</v>
      </c>
      <c r="H219">
        <v>236</v>
      </c>
    </row>
    <row r="220" spans="5:8" x14ac:dyDescent="0.25">
      <c r="E220">
        <v>3177.97</v>
      </c>
      <c r="F220">
        <v>10</v>
      </c>
      <c r="G220">
        <v>4</v>
      </c>
      <c r="H220">
        <v>235</v>
      </c>
    </row>
    <row r="221" spans="5:8" x14ac:dyDescent="0.25">
      <c r="E221">
        <v>3177.97</v>
      </c>
      <c r="F221">
        <v>10</v>
      </c>
      <c r="G221">
        <v>16</v>
      </c>
      <c r="H221">
        <v>58</v>
      </c>
    </row>
    <row r="222" spans="5:8" x14ac:dyDescent="0.25">
      <c r="E222">
        <v>3191.49</v>
      </c>
      <c r="F222">
        <v>10</v>
      </c>
      <c r="G222">
        <v>4</v>
      </c>
      <c r="H222">
        <v>234</v>
      </c>
    </row>
    <row r="223" spans="5:8" x14ac:dyDescent="0.25">
      <c r="E223">
        <v>3205.13</v>
      </c>
      <c r="F223">
        <v>10</v>
      </c>
      <c r="G223">
        <v>4</v>
      </c>
      <c r="H223">
        <v>233</v>
      </c>
    </row>
    <row r="224" spans="5:8" x14ac:dyDescent="0.25">
      <c r="E224">
        <v>3218.88</v>
      </c>
      <c r="F224">
        <v>10</v>
      </c>
      <c r="G224">
        <v>4</v>
      </c>
      <c r="H224">
        <v>232</v>
      </c>
    </row>
    <row r="225" spans="5:8" x14ac:dyDescent="0.25">
      <c r="E225">
        <v>3232.76</v>
      </c>
      <c r="F225">
        <v>10</v>
      </c>
      <c r="G225">
        <v>4</v>
      </c>
      <c r="H225">
        <v>231</v>
      </c>
    </row>
    <row r="226" spans="5:8" x14ac:dyDescent="0.25">
      <c r="E226">
        <v>3232.76</v>
      </c>
      <c r="F226">
        <v>10</v>
      </c>
      <c r="G226">
        <v>16</v>
      </c>
      <c r="H226">
        <v>57</v>
      </c>
    </row>
    <row r="227" spans="5:8" x14ac:dyDescent="0.25">
      <c r="E227">
        <v>3246.75</v>
      </c>
      <c r="F227">
        <v>10</v>
      </c>
      <c r="G227">
        <v>4</v>
      </c>
      <c r="H227">
        <v>230</v>
      </c>
    </row>
    <row r="228" spans="5:8" x14ac:dyDescent="0.25">
      <c r="E228">
        <v>3260.87</v>
      </c>
      <c r="F228">
        <v>10</v>
      </c>
      <c r="G228">
        <v>4</v>
      </c>
      <c r="H228">
        <v>229</v>
      </c>
    </row>
    <row r="229" spans="5:8" x14ac:dyDescent="0.25">
      <c r="E229">
        <v>3275.11</v>
      </c>
      <c r="F229">
        <v>10</v>
      </c>
      <c r="G229">
        <v>4</v>
      </c>
      <c r="H229">
        <v>228</v>
      </c>
    </row>
    <row r="230" spans="5:8" x14ac:dyDescent="0.25">
      <c r="E230">
        <v>3289.47</v>
      </c>
      <c r="F230">
        <v>10</v>
      </c>
      <c r="G230">
        <v>4</v>
      </c>
      <c r="H230">
        <v>227</v>
      </c>
    </row>
    <row r="231" spans="5:8" x14ac:dyDescent="0.25">
      <c r="E231">
        <v>3289.47</v>
      </c>
      <c r="F231">
        <v>10</v>
      </c>
      <c r="G231">
        <v>16</v>
      </c>
      <c r="H231">
        <v>56</v>
      </c>
    </row>
    <row r="232" spans="5:8" x14ac:dyDescent="0.25">
      <c r="E232">
        <v>3303.96</v>
      </c>
      <c r="F232">
        <v>10</v>
      </c>
      <c r="G232">
        <v>4</v>
      </c>
      <c r="H232">
        <v>226</v>
      </c>
    </row>
    <row r="233" spans="5:8" x14ac:dyDescent="0.25">
      <c r="E233">
        <v>3318.58</v>
      </c>
      <c r="F233">
        <v>10</v>
      </c>
      <c r="G233">
        <v>4</v>
      </c>
      <c r="H233">
        <v>225</v>
      </c>
    </row>
    <row r="234" spans="5:8" x14ac:dyDescent="0.25">
      <c r="E234">
        <v>3333.33</v>
      </c>
      <c r="F234">
        <v>10</v>
      </c>
      <c r="G234">
        <v>4</v>
      </c>
      <c r="H234">
        <v>224</v>
      </c>
    </row>
    <row r="235" spans="5:8" x14ac:dyDescent="0.25">
      <c r="E235">
        <v>3348.21</v>
      </c>
      <c r="F235">
        <v>10</v>
      </c>
      <c r="G235">
        <v>4</v>
      </c>
      <c r="H235">
        <v>223</v>
      </c>
    </row>
    <row r="236" spans="5:8" x14ac:dyDescent="0.25">
      <c r="E236">
        <v>3348.21</v>
      </c>
      <c r="F236">
        <v>10</v>
      </c>
      <c r="G236">
        <v>16</v>
      </c>
      <c r="H236">
        <v>55</v>
      </c>
    </row>
    <row r="237" spans="5:8" x14ac:dyDescent="0.25">
      <c r="E237">
        <v>3363.23</v>
      </c>
      <c r="F237">
        <v>10</v>
      </c>
      <c r="G237">
        <v>4</v>
      </c>
      <c r="H237">
        <v>222</v>
      </c>
    </row>
    <row r="238" spans="5:8" x14ac:dyDescent="0.25">
      <c r="E238">
        <v>3378.38</v>
      </c>
      <c r="F238">
        <v>10</v>
      </c>
      <c r="G238">
        <v>4</v>
      </c>
      <c r="H238">
        <v>221</v>
      </c>
    </row>
    <row r="239" spans="5:8" x14ac:dyDescent="0.25">
      <c r="E239">
        <v>3393.67</v>
      </c>
      <c r="F239">
        <v>10</v>
      </c>
      <c r="G239">
        <v>4</v>
      </c>
      <c r="H239">
        <v>220</v>
      </c>
    </row>
    <row r="240" spans="5:8" x14ac:dyDescent="0.25">
      <c r="E240">
        <v>3409.09</v>
      </c>
      <c r="F240">
        <v>10</v>
      </c>
      <c r="G240">
        <v>4</v>
      </c>
      <c r="H240">
        <v>219</v>
      </c>
    </row>
    <row r="241" spans="5:8" x14ac:dyDescent="0.25">
      <c r="E241">
        <v>3409.09</v>
      </c>
      <c r="F241">
        <v>10</v>
      </c>
      <c r="G241">
        <v>16</v>
      </c>
      <c r="H241">
        <v>54</v>
      </c>
    </row>
    <row r="242" spans="5:8" x14ac:dyDescent="0.25">
      <c r="E242">
        <v>3424.66</v>
      </c>
      <c r="F242">
        <v>10</v>
      </c>
      <c r="G242">
        <v>4</v>
      </c>
      <c r="H242">
        <v>218</v>
      </c>
    </row>
    <row r="243" spans="5:8" x14ac:dyDescent="0.25">
      <c r="E243">
        <v>3440.37</v>
      </c>
      <c r="F243">
        <v>10</v>
      </c>
      <c r="G243">
        <v>4</v>
      </c>
      <c r="H243">
        <v>217</v>
      </c>
    </row>
    <row r="244" spans="5:8" x14ac:dyDescent="0.25">
      <c r="E244">
        <v>3456.22</v>
      </c>
      <c r="F244">
        <v>10</v>
      </c>
      <c r="G244">
        <v>4</v>
      </c>
      <c r="H244">
        <v>216</v>
      </c>
    </row>
    <row r="245" spans="5:8" x14ac:dyDescent="0.25">
      <c r="E245">
        <v>3472.22</v>
      </c>
      <c r="F245">
        <v>10</v>
      </c>
      <c r="G245">
        <v>4</v>
      </c>
      <c r="H245">
        <v>215</v>
      </c>
    </row>
    <row r="246" spans="5:8" x14ac:dyDescent="0.25">
      <c r="E246">
        <v>3472.22</v>
      </c>
      <c r="F246">
        <v>10</v>
      </c>
      <c r="G246">
        <v>16</v>
      </c>
      <c r="H246">
        <v>53</v>
      </c>
    </row>
    <row r="247" spans="5:8" x14ac:dyDescent="0.25">
      <c r="E247">
        <v>3488.37</v>
      </c>
      <c r="F247">
        <v>10</v>
      </c>
      <c r="G247">
        <v>4</v>
      </c>
      <c r="H247">
        <v>214</v>
      </c>
    </row>
    <row r="248" spans="5:8" x14ac:dyDescent="0.25">
      <c r="E248">
        <v>3504.67</v>
      </c>
      <c r="F248">
        <v>10</v>
      </c>
      <c r="G248">
        <v>4</v>
      </c>
      <c r="H248">
        <v>213</v>
      </c>
    </row>
    <row r="249" spans="5:8" x14ac:dyDescent="0.25">
      <c r="E249">
        <v>3521.13</v>
      </c>
      <c r="F249">
        <v>10</v>
      </c>
      <c r="G249">
        <v>4</v>
      </c>
      <c r="H249">
        <v>212</v>
      </c>
    </row>
    <row r="250" spans="5:8" x14ac:dyDescent="0.25">
      <c r="E250">
        <v>3537.74</v>
      </c>
      <c r="F250">
        <v>10</v>
      </c>
      <c r="G250">
        <v>4</v>
      </c>
      <c r="H250">
        <v>211</v>
      </c>
    </row>
    <row r="251" spans="5:8" x14ac:dyDescent="0.25">
      <c r="E251">
        <v>3537.74</v>
      </c>
      <c r="F251">
        <v>10</v>
      </c>
      <c r="G251">
        <v>16</v>
      </c>
      <c r="H251">
        <v>52</v>
      </c>
    </row>
    <row r="252" spans="5:8" x14ac:dyDescent="0.25">
      <c r="E252">
        <v>3554.5</v>
      </c>
      <c r="F252">
        <v>10</v>
      </c>
      <c r="G252">
        <v>4</v>
      </c>
      <c r="H252">
        <v>210</v>
      </c>
    </row>
    <row r="253" spans="5:8" x14ac:dyDescent="0.25">
      <c r="E253">
        <v>3571.43</v>
      </c>
      <c r="F253">
        <v>10</v>
      </c>
      <c r="G253">
        <v>4</v>
      </c>
      <c r="H253">
        <v>209</v>
      </c>
    </row>
    <row r="254" spans="5:8" x14ac:dyDescent="0.25">
      <c r="E254">
        <v>3588.52</v>
      </c>
      <c r="F254">
        <v>10</v>
      </c>
      <c r="G254">
        <v>4</v>
      </c>
      <c r="H254">
        <v>208</v>
      </c>
    </row>
    <row r="255" spans="5:8" x14ac:dyDescent="0.25">
      <c r="E255">
        <v>3605.77</v>
      </c>
      <c r="F255">
        <v>10</v>
      </c>
      <c r="G255">
        <v>4</v>
      </c>
      <c r="H255">
        <v>207</v>
      </c>
    </row>
    <row r="256" spans="5:8" x14ac:dyDescent="0.25">
      <c r="E256">
        <v>3605.77</v>
      </c>
      <c r="F256">
        <v>10</v>
      </c>
      <c r="G256">
        <v>16</v>
      </c>
      <c r="H256">
        <v>51</v>
      </c>
    </row>
    <row r="257" spans="5:8" x14ac:dyDescent="0.25">
      <c r="E257">
        <v>3623.19</v>
      </c>
      <c r="F257">
        <v>10</v>
      </c>
      <c r="G257">
        <v>4</v>
      </c>
      <c r="H257">
        <v>206</v>
      </c>
    </row>
    <row r="258" spans="5:8" x14ac:dyDescent="0.25">
      <c r="E258">
        <v>3640.78</v>
      </c>
      <c r="F258">
        <v>10</v>
      </c>
      <c r="G258">
        <v>4</v>
      </c>
      <c r="H258">
        <v>205</v>
      </c>
    </row>
    <row r="259" spans="5:8" x14ac:dyDescent="0.25">
      <c r="E259">
        <v>3658.54</v>
      </c>
      <c r="F259">
        <v>10</v>
      </c>
      <c r="G259">
        <v>4</v>
      </c>
      <c r="H259">
        <v>204</v>
      </c>
    </row>
    <row r="260" spans="5:8" x14ac:dyDescent="0.25">
      <c r="E260">
        <v>3676.47</v>
      </c>
      <c r="F260">
        <v>10</v>
      </c>
      <c r="G260">
        <v>4</v>
      </c>
      <c r="H260">
        <v>203</v>
      </c>
    </row>
    <row r="261" spans="5:8" x14ac:dyDescent="0.25">
      <c r="E261">
        <v>3676.47</v>
      </c>
      <c r="F261">
        <v>10</v>
      </c>
      <c r="G261">
        <v>16</v>
      </c>
      <c r="H261">
        <v>50</v>
      </c>
    </row>
    <row r="262" spans="5:8" x14ac:dyDescent="0.25">
      <c r="E262">
        <v>3694.58</v>
      </c>
      <c r="F262">
        <v>10</v>
      </c>
      <c r="G262">
        <v>4</v>
      </c>
      <c r="H262">
        <v>202</v>
      </c>
    </row>
    <row r="263" spans="5:8" x14ac:dyDescent="0.25">
      <c r="E263">
        <v>3712.87</v>
      </c>
      <c r="F263">
        <v>10</v>
      </c>
      <c r="G263">
        <v>4</v>
      </c>
      <c r="H263">
        <v>201</v>
      </c>
    </row>
    <row r="264" spans="5:8" x14ac:dyDescent="0.25">
      <c r="E264">
        <v>3731.34</v>
      </c>
      <c r="F264">
        <v>10</v>
      </c>
      <c r="G264">
        <v>4</v>
      </c>
      <c r="H264">
        <v>200</v>
      </c>
    </row>
    <row r="265" spans="5:8" x14ac:dyDescent="0.25">
      <c r="E265">
        <v>3750</v>
      </c>
      <c r="F265">
        <v>10</v>
      </c>
      <c r="G265">
        <v>4</v>
      </c>
      <c r="H265">
        <v>199</v>
      </c>
    </row>
    <row r="266" spans="5:8" x14ac:dyDescent="0.25">
      <c r="E266">
        <v>3750</v>
      </c>
      <c r="F266">
        <v>10</v>
      </c>
      <c r="G266">
        <v>16</v>
      </c>
      <c r="H266">
        <v>49</v>
      </c>
    </row>
    <row r="267" spans="5:8" x14ac:dyDescent="0.25">
      <c r="E267">
        <v>3768.84</v>
      </c>
      <c r="F267">
        <v>10</v>
      </c>
      <c r="G267">
        <v>4</v>
      </c>
      <c r="H267">
        <v>198</v>
      </c>
    </row>
    <row r="268" spans="5:8" x14ac:dyDescent="0.25">
      <c r="E268">
        <v>3787.88</v>
      </c>
      <c r="F268">
        <v>10</v>
      </c>
      <c r="G268">
        <v>4</v>
      </c>
      <c r="H268">
        <v>197</v>
      </c>
    </row>
    <row r="269" spans="5:8" x14ac:dyDescent="0.25">
      <c r="E269">
        <v>3807.11</v>
      </c>
      <c r="F269">
        <v>10</v>
      </c>
      <c r="G269">
        <v>4</v>
      </c>
      <c r="H269">
        <v>196</v>
      </c>
    </row>
    <row r="270" spans="5:8" x14ac:dyDescent="0.25">
      <c r="E270">
        <v>3826.53</v>
      </c>
      <c r="F270">
        <v>10</v>
      </c>
      <c r="G270">
        <v>4</v>
      </c>
      <c r="H270">
        <v>195</v>
      </c>
    </row>
    <row r="271" spans="5:8" x14ac:dyDescent="0.25">
      <c r="E271">
        <v>3826.53</v>
      </c>
      <c r="F271">
        <v>10</v>
      </c>
      <c r="G271">
        <v>16</v>
      </c>
      <c r="H271">
        <v>48</v>
      </c>
    </row>
    <row r="272" spans="5:8" x14ac:dyDescent="0.25">
      <c r="E272">
        <v>3846.15</v>
      </c>
      <c r="F272">
        <v>10</v>
      </c>
      <c r="G272">
        <v>4</v>
      </c>
      <c r="H272">
        <v>194</v>
      </c>
    </row>
    <row r="273" spans="5:8" x14ac:dyDescent="0.25">
      <c r="E273">
        <v>3865.98</v>
      </c>
      <c r="F273">
        <v>10</v>
      </c>
      <c r="G273">
        <v>4</v>
      </c>
      <c r="H273">
        <v>193</v>
      </c>
    </row>
    <row r="274" spans="5:8" x14ac:dyDescent="0.25">
      <c r="E274">
        <v>3886.01</v>
      </c>
      <c r="F274">
        <v>10</v>
      </c>
      <c r="G274">
        <v>4</v>
      </c>
      <c r="H274">
        <v>192</v>
      </c>
    </row>
    <row r="275" spans="5:8" x14ac:dyDescent="0.25">
      <c r="E275">
        <v>3906.25</v>
      </c>
      <c r="F275">
        <v>10</v>
      </c>
      <c r="G275">
        <v>4</v>
      </c>
      <c r="H275">
        <v>191</v>
      </c>
    </row>
    <row r="276" spans="5:8" x14ac:dyDescent="0.25">
      <c r="E276">
        <v>3906.25</v>
      </c>
      <c r="F276">
        <v>10</v>
      </c>
      <c r="G276">
        <v>16</v>
      </c>
      <c r="H276">
        <v>47</v>
      </c>
    </row>
    <row r="277" spans="5:8" x14ac:dyDescent="0.25">
      <c r="E277">
        <v>3926.7</v>
      </c>
      <c r="F277">
        <v>10</v>
      </c>
      <c r="G277">
        <v>4</v>
      </c>
      <c r="H277">
        <v>190</v>
      </c>
    </row>
    <row r="278" spans="5:8" x14ac:dyDescent="0.25">
      <c r="E278">
        <v>3947.37</v>
      </c>
      <c r="F278">
        <v>10</v>
      </c>
      <c r="G278">
        <v>4</v>
      </c>
      <c r="H278">
        <v>189</v>
      </c>
    </row>
    <row r="279" spans="5:8" x14ac:dyDescent="0.25">
      <c r="E279">
        <v>3968.25</v>
      </c>
      <c r="F279">
        <v>10</v>
      </c>
      <c r="G279">
        <v>4</v>
      </c>
      <c r="H279">
        <v>188</v>
      </c>
    </row>
    <row r="280" spans="5:8" x14ac:dyDescent="0.25">
      <c r="E280">
        <v>3989.36</v>
      </c>
      <c r="F280">
        <v>10</v>
      </c>
      <c r="G280">
        <v>4</v>
      </c>
      <c r="H280">
        <v>187</v>
      </c>
    </row>
    <row r="281" spans="5:8" x14ac:dyDescent="0.25">
      <c r="E281">
        <v>3989.36</v>
      </c>
      <c r="F281">
        <v>10</v>
      </c>
      <c r="G281">
        <v>16</v>
      </c>
      <c r="H281">
        <v>46</v>
      </c>
    </row>
    <row r="282" spans="5:8" x14ac:dyDescent="0.25">
      <c r="E282">
        <v>4010.7</v>
      </c>
      <c r="F282">
        <v>10</v>
      </c>
      <c r="G282">
        <v>4</v>
      </c>
      <c r="H282">
        <v>186</v>
      </c>
    </row>
    <row r="283" spans="5:8" x14ac:dyDescent="0.25">
      <c r="E283">
        <v>4032.26</v>
      </c>
      <c r="F283">
        <v>10</v>
      </c>
      <c r="G283">
        <v>4</v>
      </c>
      <c r="H283">
        <v>185</v>
      </c>
    </row>
    <row r="284" spans="5:8" x14ac:dyDescent="0.25">
      <c r="E284">
        <v>4054.05</v>
      </c>
      <c r="F284">
        <v>10</v>
      </c>
      <c r="G284">
        <v>4</v>
      </c>
      <c r="H284">
        <v>184</v>
      </c>
    </row>
    <row r="285" spans="5:8" x14ac:dyDescent="0.25">
      <c r="E285">
        <v>4076.09</v>
      </c>
      <c r="F285">
        <v>10</v>
      </c>
      <c r="G285">
        <v>4</v>
      </c>
      <c r="H285">
        <v>183</v>
      </c>
    </row>
    <row r="286" spans="5:8" x14ac:dyDescent="0.25">
      <c r="E286">
        <v>4076.09</v>
      </c>
      <c r="F286">
        <v>10</v>
      </c>
      <c r="G286">
        <v>16</v>
      </c>
      <c r="H286">
        <v>45</v>
      </c>
    </row>
    <row r="287" spans="5:8" x14ac:dyDescent="0.25">
      <c r="E287">
        <v>4098.3599999999997</v>
      </c>
      <c r="F287">
        <v>10</v>
      </c>
      <c r="G287">
        <v>4</v>
      </c>
      <c r="H287">
        <v>182</v>
      </c>
    </row>
    <row r="288" spans="5:8" x14ac:dyDescent="0.25">
      <c r="E288">
        <v>4120.88</v>
      </c>
      <c r="F288">
        <v>10</v>
      </c>
      <c r="G288">
        <v>4</v>
      </c>
      <c r="H288">
        <v>181</v>
      </c>
    </row>
    <row r="289" spans="5:8" x14ac:dyDescent="0.25">
      <c r="E289">
        <v>4143.6499999999996</v>
      </c>
      <c r="F289">
        <v>10</v>
      </c>
      <c r="G289">
        <v>4</v>
      </c>
      <c r="H289">
        <v>180</v>
      </c>
    </row>
    <row r="290" spans="5:8" x14ac:dyDescent="0.25">
      <c r="E290">
        <v>4166.67</v>
      </c>
      <c r="F290">
        <v>10</v>
      </c>
      <c r="G290">
        <v>4</v>
      </c>
      <c r="H290">
        <v>179</v>
      </c>
    </row>
    <row r="291" spans="5:8" x14ac:dyDescent="0.25">
      <c r="E291">
        <v>4166.67</v>
      </c>
      <c r="F291">
        <v>10</v>
      </c>
      <c r="G291">
        <v>16</v>
      </c>
      <c r="H291">
        <v>44</v>
      </c>
    </row>
    <row r="292" spans="5:8" x14ac:dyDescent="0.25">
      <c r="E292">
        <v>4189.9399999999996</v>
      </c>
      <c r="F292">
        <v>10</v>
      </c>
      <c r="G292">
        <v>4</v>
      </c>
      <c r="H292">
        <v>178</v>
      </c>
    </row>
    <row r="293" spans="5:8" x14ac:dyDescent="0.25">
      <c r="E293">
        <v>4213.4799999999996</v>
      </c>
      <c r="F293">
        <v>10</v>
      </c>
      <c r="G293">
        <v>4</v>
      </c>
      <c r="H293">
        <v>177</v>
      </c>
    </row>
    <row r="294" spans="5:8" x14ac:dyDescent="0.25">
      <c r="E294">
        <v>4237.29</v>
      </c>
      <c r="F294">
        <v>10</v>
      </c>
      <c r="G294">
        <v>4</v>
      </c>
      <c r="H294">
        <v>176</v>
      </c>
    </row>
    <row r="295" spans="5:8" x14ac:dyDescent="0.25">
      <c r="E295">
        <v>4261.3599999999997</v>
      </c>
      <c r="F295">
        <v>10</v>
      </c>
      <c r="G295">
        <v>4</v>
      </c>
      <c r="H295">
        <v>175</v>
      </c>
    </row>
    <row r="296" spans="5:8" x14ac:dyDescent="0.25">
      <c r="E296">
        <v>4261.3599999999997</v>
      </c>
      <c r="F296">
        <v>10</v>
      </c>
      <c r="G296">
        <v>16</v>
      </c>
      <c r="H296">
        <v>43</v>
      </c>
    </row>
    <row r="297" spans="5:8" x14ac:dyDescent="0.25">
      <c r="E297">
        <v>4285.71</v>
      </c>
      <c r="F297">
        <v>10</v>
      </c>
      <c r="G297">
        <v>4</v>
      </c>
      <c r="H297">
        <v>174</v>
      </c>
    </row>
    <row r="298" spans="5:8" x14ac:dyDescent="0.25">
      <c r="E298">
        <v>4310.34</v>
      </c>
      <c r="F298">
        <v>10</v>
      </c>
      <c r="G298">
        <v>4</v>
      </c>
      <c r="H298">
        <v>173</v>
      </c>
    </row>
    <row r="299" spans="5:8" x14ac:dyDescent="0.25">
      <c r="E299">
        <v>4335.26</v>
      </c>
      <c r="F299">
        <v>10</v>
      </c>
      <c r="G299">
        <v>4</v>
      </c>
      <c r="H299">
        <v>172</v>
      </c>
    </row>
    <row r="300" spans="5:8" x14ac:dyDescent="0.25">
      <c r="E300">
        <v>4360.47</v>
      </c>
      <c r="F300">
        <v>10</v>
      </c>
      <c r="G300">
        <v>4</v>
      </c>
      <c r="H300">
        <v>171</v>
      </c>
    </row>
    <row r="301" spans="5:8" x14ac:dyDescent="0.25">
      <c r="E301">
        <v>4360.47</v>
      </c>
      <c r="F301">
        <v>10</v>
      </c>
      <c r="G301">
        <v>16</v>
      </c>
      <c r="H301">
        <v>42</v>
      </c>
    </row>
    <row r="302" spans="5:8" x14ac:dyDescent="0.25">
      <c r="E302">
        <v>4385.96</v>
      </c>
      <c r="F302">
        <v>10</v>
      </c>
      <c r="G302">
        <v>4</v>
      </c>
      <c r="H302">
        <v>170</v>
      </c>
    </row>
    <row r="303" spans="5:8" x14ac:dyDescent="0.25">
      <c r="E303">
        <v>4411.76</v>
      </c>
      <c r="F303">
        <v>10</v>
      </c>
      <c r="G303">
        <v>4</v>
      </c>
      <c r="H303">
        <v>169</v>
      </c>
    </row>
    <row r="304" spans="5:8" x14ac:dyDescent="0.25">
      <c r="E304">
        <v>4437.87</v>
      </c>
      <c r="F304">
        <v>10</v>
      </c>
      <c r="G304">
        <v>4</v>
      </c>
      <c r="H304">
        <v>168</v>
      </c>
    </row>
    <row r="305" spans="5:8" x14ac:dyDescent="0.25">
      <c r="E305">
        <v>4464.29</v>
      </c>
      <c r="F305">
        <v>10</v>
      </c>
      <c r="G305">
        <v>4</v>
      </c>
      <c r="H305">
        <v>167</v>
      </c>
    </row>
    <row r="306" spans="5:8" x14ac:dyDescent="0.25">
      <c r="E306">
        <v>4464.29</v>
      </c>
      <c r="F306">
        <v>10</v>
      </c>
      <c r="G306">
        <v>16</v>
      </c>
      <c r="H306">
        <v>41</v>
      </c>
    </row>
    <row r="307" spans="5:8" x14ac:dyDescent="0.25">
      <c r="E307">
        <v>4491.0200000000004</v>
      </c>
      <c r="F307">
        <v>10</v>
      </c>
      <c r="G307">
        <v>4</v>
      </c>
      <c r="H307">
        <v>166</v>
      </c>
    </row>
    <row r="308" spans="5:8" x14ac:dyDescent="0.25">
      <c r="E308">
        <v>4518.07</v>
      </c>
      <c r="F308">
        <v>10</v>
      </c>
      <c r="G308">
        <v>4</v>
      </c>
      <c r="H308">
        <v>165</v>
      </c>
    </row>
    <row r="309" spans="5:8" x14ac:dyDescent="0.25">
      <c r="E309">
        <v>4545.45</v>
      </c>
      <c r="F309">
        <v>10</v>
      </c>
      <c r="G309">
        <v>4</v>
      </c>
      <c r="H309">
        <v>164</v>
      </c>
    </row>
    <row r="310" spans="5:8" x14ac:dyDescent="0.25">
      <c r="E310">
        <v>4573.17</v>
      </c>
      <c r="F310">
        <v>10</v>
      </c>
      <c r="G310">
        <v>4</v>
      </c>
      <c r="H310">
        <v>163</v>
      </c>
    </row>
    <row r="311" spans="5:8" x14ac:dyDescent="0.25">
      <c r="E311">
        <v>4573.17</v>
      </c>
      <c r="F311">
        <v>10</v>
      </c>
      <c r="G311">
        <v>16</v>
      </c>
      <c r="H311">
        <v>40</v>
      </c>
    </row>
    <row r="312" spans="5:8" x14ac:dyDescent="0.25">
      <c r="E312">
        <v>4601.2299999999996</v>
      </c>
      <c r="F312">
        <v>10</v>
      </c>
      <c r="G312">
        <v>4</v>
      </c>
      <c r="H312">
        <v>162</v>
      </c>
    </row>
    <row r="313" spans="5:8" x14ac:dyDescent="0.25">
      <c r="E313">
        <v>4629.63</v>
      </c>
      <c r="F313">
        <v>10</v>
      </c>
      <c r="G313">
        <v>4</v>
      </c>
      <c r="H313">
        <v>161</v>
      </c>
    </row>
    <row r="314" spans="5:8" x14ac:dyDescent="0.25">
      <c r="E314">
        <v>4658.3900000000003</v>
      </c>
      <c r="F314">
        <v>10</v>
      </c>
      <c r="G314">
        <v>4</v>
      </c>
      <c r="H314">
        <v>160</v>
      </c>
    </row>
    <row r="315" spans="5:8" x14ac:dyDescent="0.25">
      <c r="E315">
        <v>4687.5</v>
      </c>
      <c r="F315">
        <v>10</v>
      </c>
      <c r="G315">
        <v>4</v>
      </c>
      <c r="H315">
        <v>159</v>
      </c>
    </row>
    <row r="316" spans="5:8" x14ac:dyDescent="0.25">
      <c r="E316">
        <v>4687.5</v>
      </c>
      <c r="F316">
        <v>10</v>
      </c>
      <c r="G316">
        <v>16</v>
      </c>
      <c r="H316">
        <v>39</v>
      </c>
    </row>
    <row r="317" spans="5:8" x14ac:dyDescent="0.25">
      <c r="E317">
        <v>4716.9799999999996</v>
      </c>
      <c r="F317">
        <v>10</v>
      </c>
      <c r="G317">
        <v>4</v>
      </c>
      <c r="H317">
        <v>158</v>
      </c>
    </row>
    <row r="318" spans="5:8" x14ac:dyDescent="0.25">
      <c r="E318">
        <v>4746.84</v>
      </c>
      <c r="F318">
        <v>10</v>
      </c>
      <c r="G318">
        <v>4</v>
      </c>
      <c r="H318">
        <v>157</v>
      </c>
    </row>
    <row r="319" spans="5:8" x14ac:dyDescent="0.25">
      <c r="E319">
        <v>4777.07</v>
      </c>
      <c r="F319">
        <v>10</v>
      </c>
      <c r="G319">
        <v>4</v>
      </c>
      <c r="H319">
        <v>156</v>
      </c>
    </row>
    <row r="320" spans="5:8" x14ac:dyDescent="0.25">
      <c r="E320">
        <v>4807.6899999999996</v>
      </c>
      <c r="F320">
        <v>10</v>
      </c>
      <c r="G320">
        <v>4</v>
      </c>
      <c r="H320">
        <v>155</v>
      </c>
    </row>
    <row r="321" spans="5:8" x14ac:dyDescent="0.25">
      <c r="E321">
        <v>4807.6899999999996</v>
      </c>
      <c r="F321">
        <v>10</v>
      </c>
      <c r="G321">
        <v>16</v>
      </c>
      <c r="H321">
        <v>38</v>
      </c>
    </row>
    <row r="322" spans="5:8" x14ac:dyDescent="0.25">
      <c r="E322">
        <v>4838.71</v>
      </c>
      <c r="F322">
        <v>10</v>
      </c>
      <c r="G322">
        <v>4</v>
      </c>
      <c r="H322">
        <v>154</v>
      </c>
    </row>
    <row r="323" spans="5:8" x14ac:dyDescent="0.25">
      <c r="E323">
        <v>4870.13</v>
      </c>
      <c r="F323">
        <v>10</v>
      </c>
      <c r="G323">
        <v>4</v>
      </c>
      <c r="H323">
        <v>153</v>
      </c>
    </row>
    <row r="324" spans="5:8" x14ac:dyDescent="0.25">
      <c r="E324">
        <v>4901.96</v>
      </c>
      <c r="F324">
        <v>10</v>
      </c>
      <c r="G324">
        <v>4</v>
      </c>
      <c r="H324">
        <v>152</v>
      </c>
    </row>
    <row r="325" spans="5:8" x14ac:dyDescent="0.25">
      <c r="E325">
        <v>4934.21</v>
      </c>
      <c r="F325">
        <v>10</v>
      </c>
      <c r="G325">
        <v>4</v>
      </c>
      <c r="H325">
        <v>151</v>
      </c>
    </row>
    <row r="326" spans="5:8" x14ac:dyDescent="0.25">
      <c r="E326">
        <v>4934.21</v>
      </c>
      <c r="F326">
        <v>10</v>
      </c>
      <c r="G326">
        <v>16</v>
      </c>
      <c r="H326">
        <v>37</v>
      </c>
    </row>
    <row r="327" spans="5:8" x14ac:dyDescent="0.25">
      <c r="E327">
        <v>4966.8900000000003</v>
      </c>
      <c r="F327">
        <v>10</v>
      </c>
      <c r="G327">
        <v>4</v>
      </c>
      <c r="H327">
        <v>150</v>
      </c>
    </row>
    <row r="328" spans="5:8" x14ac:dyDescent="0.25">
      <c r="E328">
        <v>5000</v>
      </c>
      <c r="F328">
        <v>10</v>
      </c>
      <c r="G328">
        <v>4</v>
      </c>
      <c r="H328">
        <v>149</v>
      </c>
    </row>
    <row r="329" spans="5:8" x14ac:dyDescent="0.25">
      <c r="E329">
        <v>5033.5600000000004</v>
      </c>
      <c r="F329">
        <v>10</v>
      </c>
      <c r="G329">
        <v>4</v>
      </c>
      <c r="H329">
        <v>148</v>
      </c>
    </row>
    <row r="330" spans="5:8" x14ac:dyDescent="0.25">
      <c r="E330">
        <v>5067.57</v>
      </c>
      <c r="F330">
        <v>10</v>
      </c>
      <c r="G330">
        <v>4</v>
      </c>
      <c r="H330">
        <v>147</v>
      </c>
    </row>
    <row r="331" spans="5:8" x14ac:dyDescent="0.25">
      <c r="E331">
        <v>5067.57</v>
      </c>
      <c r="F331">
        <v>10</v>
      </c>
      <c r="G331">
        <v>16</v>
      </c>
      <c r="H331">
        <v>36</v>
      </c>
    </row>
    <row r="332" spans="5:8" x14ac:dyDescent="0.25">
      <c r="E332">
        <v>5102.04</v>
      </c>
      <c r="F332">
        <v>10</v>
      </c>
      <c r="G332">
        <v>4</v>
      </c>
      <c r="H332">
        <v>146</v>
      </c>
    </row>
    <row r="333" spans="5:8" x14ac:dyDescent="0.25">
      <c r="E333">
        <v>5136.99</v>
      </c>
      <c r="F333">
        <v>10</v>
      </c>
      <c r="G333">
        <v>4</v>
      </c>
      <c r="H333">
        <v>145</v>
      </c>
    </row>
    <row r="334" spans="5:8" x14ac:dyDescent="0.25">
      <c r="E334">
        <v>5172.41</v>
      </c>
      <c r="F334">
        <v>10</v>
      </c>
      <c r="G334">
        <v>4</v>
      </c>
      <c r="H334">
        <v>144</v>
      </c>
    </row>
    <row r="335" spans="5:8" x14ac:dyDescent="0.25">
      <c r="E335">
        <v>5208.33</v>
      </c>
      <c r="F335">
        <v>10</v>
      </c>
      <c r="G335">
        <v>4</v>
      </c>
      <c r="H335">
        <v>143</v>
      </c>
    </row>
    <row r="336" spans="5:8" x14ac:dyDescent="0.25">
      <c r="E336">
        <v>5208.33</v>
      </c>
      <c r="F336">
        <v>10</v>
      </c>
      <c r="G336">
        <v>16</v>
      </c>
      <c r="H336">
        <v>35</v>
      </c>
    </row>
    <row r="337" spans="5:8" x14ac:dyDescent="0.25">
      <c r="E337">
        <v>5244.76</v>
      </c>
      <c r="F337">
        <v>10</v>
      </c>
      <c r="G337">
        <v>4</v>
      </c>
      <c r="H337">
        <v>142</v>
      </c>
    </row>
    <row r="338" spans="5:8" x14ac:dyDescent="0.25">
      <c r="E338">
        <v>5281.69</v>
      </c>
      <c r="F338">
        <v>10</v>
      </c>
      <c r="G338">
        <v>4</v>
      </c>
      <c r="H338">
        <v>141</v>
      </c>
    </row>
    <row r="339" spans="5:8" x14ac:dyDescent="0.25">
      <c r="E339">
        <v>5319.15</v>
      </c>
      <c r="F339">
        <v>10</v>
      </c>
      <c r="G339">
        <v>4</v>
      </c>
      <c r="H339">
        <v>140</v>
      </c>
    </row>
    <row r="340" spans="5:8" x14ac:dyDescent="0.25">
      <c r="E340">
        <v>5357.14</v>
      </c>
      <c r="F340">
        <v>10</v>
      </c>
      <c r="G340">
        <v>4</v>
      </c>
      <c r="H340">
        <v>139</v>
      </c>
    </row>
    <row r="341" spans="5:8" x14ac:dyDescent="0.25">
      <c r="E341">
        <v>5357.14</v>
      </c>
      <c r="F341">
        <v>10</v>
      </c>
      <c r="G341">
        <v>16</v>
      </c>
      <c r="H341">
        <v>34</v>
      </c>
    </row>
    <row r="342" spans="5:8" x14ac:dyDescent="0.25">
      <c r="E342">
        <v>5395.68</v>
      </c>
      <c r="F342">
        <v>10</v>
      </c>
      <c r="G342">
        <v>4</v>
      </c>
      <c r="H342">
        <v>138</v>
      </c>
    </row>
    <row r="343" spans="5:8" x14ac:dyDescent="0.25">
      <c r="E343">
        <v>5434.78</v>
      </c>
      <c r="F343">
        <v>10</v>
      </c>
      <c r="G343">
        <v>4</v>
      </c>
      <c r="H343">
        <v>137</v>
      </c>
    </row>
    <row r="344" spans="5:8" x14ac:dyDescent="0.25">
      <c r="E344">
        <v>5474.45</v>
      </c>
      <c r="F344">
        <v>10</v>
      </c>
      <c r="G344">
        <v>4</v>
      </c>
      <c r="H344">
        <v>136</v>
      </c>
    </row>
    <row r="345" spans="5:8" x14ac:dyDescent="0.25">
      <c r="E345">
        <v>5514.71</v>
      </c>
      <c r="F345">
        <v>10</v>
      </c>
      <c r="G345">
        <v>4</v>
      </c>
      <c r="H345">
        <v>135</v>
      </c>
    </row>
    <row r="346" spans="5:8" x14ac:dyDescent="0.25">
      <c r="E346">
        <v>5514.71</v>
      </c>
      <c r="F346">
        <v>10</v>
      </c>
      <c r="G346">
        <v>16</v>
      </c>
      <c r="H346">
        <v>33</v>
      </c>
    </row>
    <row r="347" spans="5:8" x14ac:dyDescent="0.25">
      <c r="E347">
        <v>5555.56</v>
      </c>
      <c r="F347">
        <v>10</v>
      </c>
      <c r="G347">
        <v>4</v>
      </c>
      <c r="H347">
        <v>134</v>
      </c>
    </row>
    <row r="348" spans="5:8" x14ac:dyDescent="0.25">
      <c r="E348">
        <v>5597.01</v>
      </c>
      <c r="F348">
        <v>10</v>
      </c>
      <c r="G348">
        <v>4</v>
      </c>
      <c r="H348">
        <v>133</v>
      </c>
    </row>
    <row r="349" spans="5:8" x14ac:dyDescent="0.25">
      <c r="E349">
        <v>5639.1</v>
      </c>
      <c r="F349">
        <v>10</v>
      </c>
      <c r="G349">
        <v>4</v>
      </c>
      <c r="H349">
        <v>132</v>
      </c>
    </row>
    <row r="350" spans="5:8" x14ac:dyDescent="0.25">
      <c r="E350">
        <v>5681.82</v>
      </c>
      <c r="F350">
        <v>10</v>
      </c>
      <c r="G350">
        <v>4</v>
      </c>
      <c r="H350">
        <v>131</v>
      </c>
    </row>
    <row r="351" spans="5:8" x14ac:dyDescent="0.25">
      <c r="E351">
        <v>5681.82</v>
      </c>
      <c r="F351">
        <v>10</v>
      </c>
      <c r="G351">
        <v>16</v>
      </c>
      <c r="H351">
        <v>32</v>
      </c>
    </row>
    <row r="352" spans="5:8" x14ac:dyDescent="0.25">
      <c r="E352">
        <v>5725.19</v>
      </c>
      <c r="F352">
        <v>10</v>
      </c>
      <c r="G352">
        <v>4</v>
      </c>
      <c r="H352">
        <v>130</v>
      </c>
    </row>
    <row r="353" spans="5:8" x14ac:dyDescent="0.25">
      <c r="E353">
        <v>5769.23</v>
      </c>
      <c r="F353">
        <v>10</v>
      </c>
      <c r="G353">
        <v>4</v>
      </c>
      <c r="H353">
        <v>129</v>
      </c>
    </row>
    <row r="354" spans="5:8" x14ac:dyDescent="0.25">
      <c r="E354">
        <v>5813.95</v>
      </c>
      <c r="F354">
        <v>10</v>
      </c>
      <c r="G354">
        <v>4</v>
      </c>
      <c r="H354">
        <v>128</v>
      </c>
    </row>
    <row r="355" spans="5:8" x14ac:dyDescent="0.25">
      <c r="E355">
        <v>5859.38</v>
      </c>
      <c r="F355">
        <v>10</v>
      </c>
      <c r="G355">
        <v>4</v>
      </c>
      <c r="H355">
        <v>127</v>
      </c>
    </row>
    <row r="356" spans="5:8" x14ac:dyDescent="0.25">
      <c r="E356">
        <v>5859.38</v>
      </c>
      <c r="F356">
        <v>10</v>
      </c>
      <c r="G356">
        <v>16</v>
      </c>
      <c r="H356">
        <v>31</v>
      </c>
    </row>
    <row r="357" spans="5:8" x14ac:dyDescent="0.25">
      <c r="E357">
        <v>5905.51</v>
      </c>
      <c r="F357">
        <v>10</v>
      </c>
      <c r="G357">
        <v>4</v>
      </c>
      <c r="H357">
        <v>126</v>
      </c>
    </row>
    <row r="358" spans="5:8" x14ac:dyDescent="0.25">
      <c r="E358">
        <v>5952.38</v>
      </c>
      <c r="F358">
        <v>10</v>
      </c>
      <c r="G358">
        <v>4</v>
      </c>
      <c r="H358">
        <v>125</v>
      </c>
    </row>
    <row r="359" spans="5:8" x14ac:dyDescent="0.25">
      <c r="E359">
        <v>6000</v>
      </c>
      <c r="F359">
        <v>10</v>
      </c>
      <c r="G359">
        <v>4</v>
      </c>
      <c r="H359">
        <v>124</v>
      </c>
    </row>
    <row r="360" spans="5:8" x14ac:dyDescent="0.25">
      <c r="E360">
        <v>6048.39</v>
      </c>
      <c r="F360">
        <v>10</v>
      </c>
      <c r="G360">
        <v>4</v>
      </c>
      <c r="H360">
        <v>123</v>
      </c>
    </row>
    <row r="361" spans="5:8" x14ac:dyDescent="0.25">
      <c r="E361">
        <v>6048.39</v>
      </c>
      <c r="F361">
        <v>10</v>
      </c>
      <c r="G361">
        <v>16</v>
      </c>
      <c r="H361">
        <v>30</v>
      </c>
    </row>
    <row r="362" spans="5:8" x14ac:dyDescent="0.25">
      <c r="E362">
        <v>6097.56</v>
      </c>
      <c r="F362">
        <v>10</v>
      </c>
      <c r="G362">
        <v>4</v>
      </c>
      <c r="H362">
        <v>122</v>
      </c>
    </row>
    <row r="363" spans="5:8" x14ac:dyDescent="0.25">
      <c r="E363">
        <v>6147.54</v>
      </c>
      <c r="F363">
        <v>10</v>
      </c>
      <c r="G363">
        <v>4</v>
      </c>
      <c r="H363">
        <v>121</v>
      </c>
    </row>
    <row r="364" spans="5:8" x14ac:dyDescent="0.25">
      <c r="E364">
        <v>6198.35</v>
      </c>
      <c r="F364">
        <v>10</v>
      </c>
      <c r="G364">
        <v>4</v>
      </c>
      <c r="H364">
        <v>120</v>
      </c>
    </row>
    <row r="365" spans="5:8" x14ac:dyDescent="0.25">
      <c r="E365">
        <v>6250</v>
      </c>
      <c r="F365">
        <v>10</v>
      </c>
      <c r="G365">
        <v>4</v>
      </c>
      <c r="H365">
        <v>119</v>
      </c>
    </row>
    <row r="366" spans="5:8" x14ac:dyDescent="0.25">
      <c r="E366">
        <v>6250</v>
      </c>
      <c r="F366">
        <v>10</v>
      </c>
      <c r="G366">
        <v>16</v>
      </c>
      <c r="H366">
        <v>29</v>
      </c>
    </row>
    <row r="367" spans="5:8" x14ac:dyDescent="0.25">
      <c r="E367">
        <v>6302.52</v>
      </c>
      <c r="F367">
        <v>10</v>
      </c>
      <c r="G367">
        <v>4</v>
      </c>
      <c r="H367">
        <v>118</v>
      </c>
    </row>
    <row r="368" spans="5:8" x14ac:dyDescent="0.25">
      <c r="E368">
        <v>6355.93</v>
      </c>
      <c r="F368">
        <v>10</v>
      </c>
      <c r="G368">
        <v>4</v>
      </c>
      <c r="H368">
        <v>117</v>
      </c>
    </row>
    <row r="369" spans="5:8" x14ac:dyDescent="0.25">
      <c r="E369">
        <v>6410.26</v>
      </c>
      <c r="F369">
        <v>10</v>
      </c>
      <c r="G369">
        <v>4</v>
      </c>
      <c r="H369">
        <v>116</v>
      </c>
    </row>
    <row r="370" spans="5:8" x14ac:dyDescent="0.25">
      <c r="E370">
        <v>6465.52</v>
      </c>
      <c r="F370">
        <v>10</v>
      </c>
      <c r="G370">
        <v>4</v>
      </c>
      <c r="H370">
        <v>115</v>
      </c>
    </row>
    <row r="371" spans="5:8" x14ac:dyDescent="0.25">
      <c r="E371">
        <v>6465.52</v>
      </c>
      <c r="F371">
        <v>10</v>
      </c>
      <c r="G371">
        <v>16</v>
      </c>
      <c r="H371">
        <v>28</v>
      </c>
    </row>
    <row r="372" spans="5:8" x14ac:dyDescent="0.25">
      <c r="E372">
        <v>6521.74</v>
      </c>
      <c r="F372">
        <v>10</v>
      </c>
      <c r="G372">
        <v>4</v>
      </c>
      <c r="H372">
        <v>114</v>
      </c>
    </row>
    <row r="373" spans="5:8" x14ac:dyDescent="0.25">
      <c r="E373">
        <v>6578.95</v>
      </c>
      <c r="F373">
        <v>10</v>
      </c>
      <c r="G373">
        <v>4</v>
      </c>
      <c r="H373">
        <v>113</v>
      </c>
    </row>
    <row r="374" spans="5:8" x14ac:dyDescent="0.25">
      <c r="E374">
        <v>6637.17</v>
      </c>
      <c r="F374">
        <v>10</v>
      </c>
      <c r="G374">
        <v>4</v>
      </c>
      <c r="H374">
        <v>112</v>
      </c>
    </row>
    <row r="375" spans="5:8" x14ac:dyDescent="0.25">
      <c r="E375">
        <v>6696.43</v>
      </c>
      <c r="F375">
        <v>10</v>
      </c>
      <c r="G375">
        <v>4</v>
      </c>
      <c r="H375">
        <v>111</v>
      </c>
    </row>
    <row r="376" spans="5:8" x14ac:dyDescent="0.25">
      <c r="E376">
        <v>6696.43</v>
      </c>
      <c r="F376">
        <v>10</v>
      </c>
      <c r="G376">
        <v>16</v>
      </c>
      <c r="H376">
        <v>27</v>
      </c>
    </row>
    <row r="377" spans="5:8" x14ac:dyDescent="0.25">
      <c r="E377">
        <v>6756.76</v>
      </c>
      <c r="F377">
        <v>10</v>
      </c>
      <c r="G377">
        <v>4</v>
      </c>
      <c r="H377">
        <v>110</v>
      </c>
    </row>
    <row r="378" spans="5:8" x14ac:dyDescent="0.25">
      <c r="E378">
        <v>6818.18</v>
      </c>
      <c r="F378">
        <v>10</v>
      </c>
      <c r="G378">
        <v>4</v>
      </c>
      <c r="H378">
        <v>109</v>
      </c>
    </row>
    <row r="379" spans="5:8" x14ac:dyDescent="0.25">
      <c r="E379">
        <v>6880.73</v>
      </c>
      <c r="F379">
        <v>10</v>
      </c>
      <c r="G379">
        <v>4</v>
      </c>
      <c r="H379">
        <v>108</v>
      </c>
    </row>
    <row r="380" spans="5:8" x14ac:dyDescent="0.25">
      <c r="E380">
        <v>6944.44</v>
      </c>
      <c r="F380">
        <v>10</v>
      </c>
      <c r="G380">
        <v>4</v>
      </c>
      <c r="H380">
        <v>107</v>
      </c>
    </row>
    <row r="381" spans="5:8" x14ac:dyDescent="0.25">
      <c r="E381">
        <v>6944.44</v>
      </c>
      <c r="F381">
        <v>10</v>
      </c>
      <c r="G381">
        <v>16</v>
      </c>
      <c r="H381">
        <v>26</v>
      </c>
    </row>
    <row r="382" spans="5:8" x14ac:dyDescent="0.25">
      <c r="E382">
        <v>7009.35</v>
      </c>
      <c r="F382">
        <v>10</v>
      </c>
      <c r="G382">
        <v>4</v>
      </c>
      <c r="H382">
        <v>106</v>
      </c>
    </row>
    <row r="383" spans="5:8" x14ac:dyDescent="0.25">
      <c r="E383">
        <v>7075.47</v>
      </c>
      <c r="F383">
        <v>10</v>
      </c>
      <c r="G383">
        <v>4</v>
      </c>
      <c r="H383">
        <v>105</v>
      </c>
    </row>
    <row r="384" spans="5:8" x14ac:dyDescent="0.25">
      <c r="E384">
        <v>7142.86</v>
      </c>
      <c r="F384">
        <v>10</v>
      </c>
      <c r="G384">
        <v>4</v>
      </c>
      <c r="H384">
        <v>104</v>
      </c>
    </row>
    <row r="385" spans="5:8" x14ac:dyDescent="0.25">
      <c r="E385">
        <v>7211.54</v>
      </c>
      <c r="F385">
        <v>10</v>
      </c>
      <c r="G385">
        <v>4</v>
      </c>
      <c r="H385">
        <v>103</v>
      </c>
    </row>
    <row r="386" spans="5:8" x14ac:dyDescent="0.25">
      <c r="E386">
        <v>7211.54</v>
      </c>
      <c r="F386">
        <v>10</v>
      </c>
      <c r="G386">
        <v>16</v>
      </c>
      <c r="H386">
        <v>25</v>
      </c>
    </row>
    <row r="387" spans="5:8" x14ac:dyDescent="0.25">
      <c r="E387">
        <v>7281.55</v>
      </c>
      <c r="F387">
        <v>10</v>
      </c>
      <c r="G387">
        <v>4</v>
      </c>
      <c r="H387">
        <v>102</v>
      </c>
    </row>
    <row r="388" spans="5:8" x14ac:dyDescent="0.25">
      <c r="E388">
        <v>7352.94</v>
      </c>
      <c r="F388">
        <v>10</v>
      </c>
      <c r="G388">
        <v>4</v>
      </c>
      <c r="H388">
        <v>101</v>
      </c>
    </row>
    <row r="389" spans="5:8" x14ac:dyDescent="0.25">
      <c r="E389">
        <v>7425.74</v>
      </c>
      <c r="F389">
        <v>10</v>
      </c>
      <c r="G389">
        <v>4</v>
      </c>
      <c r="H389">
        <v>100</v>
      </c>
    </row>
    <row r="390" spans="5:8" x14ac:dyDescent="0.25">
      <c r="E390">
        <v>7500</v>
      </c>
      <c r="F390">
        <v>10</v>
      </c>
      <c r="G390">
        <v>4</v>
      </c>
      <c r="H390">
        <v>99</v>
      </c>
    </row>
    <row r="391" spans="5:8" x14ac:dyDescent="0.25">
      <c r="E391">
        <v>7500</v>
      </c>
      <c r="F391">
        <v>10</v>
      </c>
      <c r="G391">
        <v>16</v>
      </c>
      <c r="H391">
        <v>24</v>
      </c>
    </row>
    <row r="392" spans="5:8" x14ac:dyDescent="0.25">
      <c r="E392">
        <v>7575.76</v>
      </c>
      <c r="F392">
        <v>10</v>
      </c>
      <c r="G392">
        <v>4</v>
      </c>
      <c r="H392">
        <v>98</v>
      </c>
    </row>
    <row r="393" spans="5:8" x14ac:dyDescent="0.25">
      <c r="E393">
        <v>7653.06</v>
      </c>
      <c r="F393">
        <v>10</v>
      </c>
      <c r="G393">
        <v>4</v>
      </c>
      <c r="H393">
        <v>97</v>
      </c>
    </row>
    <row r="394" spans="5:8" x14ac:dyDescent="0.25">
      <c r="E394">
        <v>7731.96</v>
      </c>
      <c r="F394">
        <v>10</v>
      </c>
      <c r="G394">
        <v>4</v>
      </c>
      <c r="H394">
        <v>96</v>
      </c>
    </row>
    <row r="395" spans="5:8" x14ac:dyDescent="0.25">
      <c r="E395">
        <v>7812.5</v>
      </c>
      <c r="F395">
        <v>10</v>
      </c>
      <c r="G395">
        <v>4</v>
      </c>
      <c r="H395">
        <v>95</v>
      </c>
    </row>
    <row r="396" spans="5:8" x14ac:dyDescent="0.25">
      <c r="E396">
        <v>7812.5</v>
      </c>
      <c r="F396">
        <v>10</v>
      </c>
      <c r="G396">
        <v>16</v>
      </c>
      <c r="H396">
        <v>23</v>
      </c>
    </row>
    <row r="397" spans="5:8" x14ac:dyDescent="0.25">
      <c r="E397">
        <v>7894.74</v>
      </c>
      <c r="F397">
        <v>10</v>
      </c>
      <c r="G397">
        <v>4</v>
      </c>
      <c r="H397">
        <v>94</v>
      </c>
    </row>
    <row r="398" spans="5:8" x14ac:dyDescent="0.25">
      <c r="E398">
        <v>7978.72</v>
      </c>
      <c r="F398">
        <v>10</v>
      </c>
      <c r="G398">
        <v>4</v>
      </c>
      <c r="H398">
        <v>93</v>
      </c>
    </row>
    <row r="399" spans="5:8" x14ac:dyDescent="0.25">
      <c r="E399">
        <v>8064.52</v>
      </c>
      <c r="F399">
        <v>10</v>
      </c>
      <c r="G399">
        <v>4</v>
      </c>
      <c r="H399">
        <v>92</v>
      </c>
    </row>
    <row r="400" spans="5:8" x14ac:dyDescent="0.25">
      <c r="E400">
        <v>8152.17</v>
      </c>
      <c r="F400">
        <v>10</v>
      </c>
      <c r="G400">
        <v>4</v>
      </c>
      <c r="H400">
        <v>91</v>
      </c>
    </row>
    <row r="401" spans="5:8" x14ac:dyDescent="0.25">
      <c r="E401">
        <v>8152.17</v>
      </c>
      <c r="F401">
        <v>10</v>
      </c>
      <c r="G401">
        <v>16</v>
      </c>
      <c r="H401">
        <v>22</v>
      </c>
    </row>
    <row r="402" spans="5:8" x14ac:dyDescent="0.25">
      <c r="E402">
        <v>8241.76</v>
      </c>
      <c r="F402">
        <v>10</v>
      </c>
      <c r="G402">
        <v>4</v>
      </c>
      <c r="H402">
        <v>90</v>
      </c>
    </row>
    <row r="403" spans="5:8" x14ac:dyDescent="0.25">
      <c r="E403">
        <v>8333.33</v>
      </c>
      <c r="F403">
        <v>10</v>
      </c>
      <c r="G403">
        <v>4</v>
      </c>
      <c r="H403">
        <v>89</v>
      </c>
    </row>
    <row r="404" spans="5:8" x14ac:dyDescent="0.25">
      <c r="E404">
        <v>8426.9699999999993</v>
      </c>
      <c r="F404">
        <v>10</v>
      </c>
      <c r="G404">
        <v>4</v>
      </c>
      <c r="H404">
        <v>88</v>
      </c>
    </row>
    <row r="405" spans="5:8" x14ac:dyDescent="0.25">
      <c r="E405">
        <v>8522.73</v>
      </c>
      <c r="F405">
        <v>10</v>
      </c>
      <c r="G405">
        <v>4</v>
      </c>
      <c r="H405">
        <v>87</v>
      </c>
    </row>
    <row r="406" spans="5:8" x14ac:dyDescent="0.25">
      <c r="E406">
        <v>8522.73</v>
      </c>
      <c r="F406">
        <v>10</v>
      </c>
      <c r="G406">
        <v>16</v>
      </c>
      <c r="H406">
        <v>21</v>
      </c>
    </row>
    <row r="407" spans="5:8" x14ac:dyDescent="0.25">
      <c r="E407">
        <v>8620.69</v>
      </c>
      <c r="F407">
        <v>10</v>
      </c>
      <c r="G407">
        <v>4</v>
      </c>
      <c r="H407">
        <v>86</v>
      </c>
    </row>
    <row r="408" spans="5:8" x14ac:dyDescent="0.25">
      <c r="E408">
        <v>8720.93</v>
      </c>
      <c r="F408">
        <v>10</v>
      </c>
      <c r="G408">
        <v>4</v>
      </c>
      <c r="H408">
        <v>85</v>
      </c>
    </row>
    <row r="409" spans="5:8" x14ac:dyDescent="0.25">
      <c r="E409">
        <v>8823.5300000000007</v>
      </c>
      <c r="F409">
        <v>10</v>
      </c>
      <c r="G409">
        <v>4</v>
      </c>
      <c r="H409">
        <v>84</v>
      </c>
    </row>
    <row r="410" spans="5:8" x14ac:dyDescent="0.25">
      <c r="E410">
        <v>8928.57</v>
      </c>
      <c r="F410">
        <v>10</v>
      </c>
      <c r="G410">
        <v>4</v>
      </c>
      <c r="H410">
        <v>83</v>
      </c>
    </row>
    <row r="411" spans="5:8" x14ac:dyDescent="0.25">
      <c r="E411">
        <v>8928.57</v>
      </c>
      <c r="F411">
        <v>10</v>
      </c>
      <c r="G411">
        <v>16</v>
      </c>
      <c r="H411">
        <v>20</v>
      </c>
    </row>
    <row r="412" spans="5:8" x14ac:dyDescent="0.25">
      <c r="E412">
        <v>9036.14</v>
      </c>
      <c r="F412">
        <v>10</v>
      </c>
      <c r="G412">
        <v>4</v>
      </c>
      <c r="H412">
        <v>82</v>
      </c>
    </row>
    <row r="413" spans="5:8" x14ac:dyDescent="0.25">
      <c r="E413">
        <v>9146.34</v>
      </c>
      <c r="F413">
        <v>10</v>
      </c>
      <c r="G413">
        <v>4</v>
      </c>
      <c r="H413">
        <v>81</v>
      </c>
    </row>
    <row r="414" spans="5:8" x14ac:dyDescent="0.25">
      <c r="E414">
        <v>9259.26</v>
      </c>
      <c r="F414">
        <v>10</v>
      </c>
      <c r="G414">
        <v>4</v>
      </c>
      <c r="H414">
        <v>80</v>
      </c>
    </row>
    <row r="415" spans="5:8" x14ac:dyDescent="0.25">
      <c r="E415">
        <v>9375</v>
      </c>
      <c r="F415">
        <v>10</v>
      </c>
      <c r="G415">
        <v>4</v>
      </c>
      <c r="H415">
        <v>79</v>
      </c>
    </row>
    <row r="416" spans="5:8" x14ac:dyDescent="0.25">
      <c r="E416">
        <v>9375</v>
      </c>
      <c r="F416">
        <v>10</v>
      </c>
      <c r="G416">
        <v>16</v>
      </c>
      <c r="H416">
        <v>19</v>
      </c>
    </row>
    <row r="417" spans="5:8" x14ac:dyDescent="0.25">
      <c r="E417">
        <v>9493.67</v>
      </c>
      <c r="F417">
        <v>10</v>
      </c>
      <c r="G417">
        <v>4</v>
      </c>
      <c r="H417">
        <v>78</v>
      </c>
    </row>
    <row r="418" spans="5:8" x14ac:dyDescent="0.25">
      <c r="E418">
        <v>9615.3799999999992</v>
      </c>
      <c r="F418">
        <v>10</v>
      </c>
      <c r="G418">
        <v>4</v>
      </c>
      <c r="H418">
        <v>77</v>
      </c>
    </row>
    <row r="419" spans="5:8" x14ac:dyDescent="0.25">
      <c r="E419">
        <v>9740.26</v>
      </c>
      <c r="F419">
        <v>10</v>
      </c>
      <c r="G419">
        <v>4</v>
      </c>
      <c r="H419">
        <v>76</v>
      </c>
    </row>
    <row r="420" spans="5:8" x14ac:dyDescent="0.25">
      <c r="E420">
        <v>9868.42</v>
      </c>
      <c r="F420">
        <v>10</v>
      </c>
      <c r="G420">
        <v>4</v>
      </c>
      <c r="H420">
        <v>75</v>
      </c>
    </row>
    <row r="421" spans="5:8" x14ac:dyDescent="0.25">
      <c r="E421">
        <v>9868.42</v>
      </c>
      <c r="F421">
        <v>10</v>
      </c>
      <c r="G421">
        <v>16</v>
      </c>
      <c r="H421">
        <v>18</v>
      </c>
    </row>
    <row r="422" spans="5:8" x14ac:dyDescent="0.25">
      <c r="E422">
        <v>10000</v>
      </c>
      <c r="F422">
        <v>10</v>
      </c>
      <c r="G422">
        <v>4</v>
      </c>
      <c r="H422">
        <v>74</v>
      </c>
    </row>
    <row r="423" spans="5:8" x14ac:dyDescent="0.25">
      <c r="E423">
        <v>10135.14</v>
      </c>
      <c r="F423">
        <v>10</v>
      </c>
      <c r="G423">
        <v>4</v>
      </c>
      <c r="H423">
        <v>73</v>
      </c>
    </row>
    <row r="424" spans="5:8" x14ac:dyDescent="0.25">
      <c r="E424">
        <v>10273.969999999999</v>
      </c>
      <c r="F424">
        <v>10</v>
      </c>
      <c r="G424">
        <v>4</v>
      </c>
      <c r="H424">
        <v>72</v>
      </c>
    </row>
    <row r="425" spans="5:8" x14ac:dyDescent="0.25">
      <c r="E425">
        <v>10416.67</v>
      </c>
      <c r="F425">
        <v>10</v>
      </c>
      <c r="G425">
        <v>4</v>
      </c>
      <c r="H425">
        <v>71</v>
      </c>
    </row>
    <row r="426" spans="5:8" x14ac:dyDescent="0.25">
      <c r="E426">
        <v>10416.67</v>
      </c>
      <c r="F426">
        <v>10</v>
      </c>
      <c r="G426">
        <v>16</v>
      </c>
      <c r="H426">
        <v>17</v>
      </c>
    </row>
    <row r="427" spans="5:8" x14ac:dyDescent="0.25">
      <c r="E427">
        <v>10563.38</v>
      </c>
      <c r="F427">
        <v>10</v>
      </c>
      <c r="G427">
        <v>4</v>
      </c>
      <c r="H427">
        <v>70</v>
      </c>
    </row>
    <row r="428" spans="5:8" x14ac:dyDescent="0.25">
      <c r="E428">
        <v>10714.29</v>
      </c>
      <c r="F428">
        <v>10</v>
      </c>
      <c r="G428">
        <v>4</v>
      </c>
      <c r="H428">
        <v>69</v>
      </c>
    </row>
    <row r="429" spans="5:8" x14ac:dyDescent="0.25">
      <c r="E429">
        <v>10869.57</v>
      </c>
      <c r="F429">
        <v>10</v>
      </c>
      <c r="G429">
        <v>4</v>
      </c>
      <c r="H429">
        <v>68</v>
      </c>
    </row>
    <row r="430" spans="5:8" x14ac:dyDescent="0.25">
      <c r="E430">
        <v>11029.41</v>
      </c>
      <c r="F430">
        <v>10</v>
      </c>
      <c r="G430">
        <v>4</v>
      </c>
      <c r="H430">
        <v>67</v>
      </c>
    </row>
    <row r="431" spans="5:8" x14ac:dyDescent="0.25">
      <c r="E431">
        <v>11029.41</v>
      </c>
      <c r="F431">
        <v>10</v>
      </c>
      <c r="G431">
        <v>16</v>
      </c>
      <c r="H431">
        <v>16</v>
      </c>
    </row>
    <row r="432" spans="5:8" x14ac:dyDescent="0.25">
      <c r="E432">
        <v>11194.03</v>
      </c>
      <c r="F432">
        <v>10</v>
      </c>
      <c r="G432">
        <v>4</v>
      </c>
      <c r="H432">
        <v>66</v>
      </c>
    </row>
    <row r="433" spans="5:8" x14ac:dyDescent="0.25">
      <c r="E433">
        <v>11363.64</v>
      </c>
      <c r="F433">
        <v>10</v>
      </c>
      <c r="G433">
        <v>4</v>
      </c>
      <c r="H433">
        <v>65</v>
      </c>
    </row>
    <row r="434" spans="5:8" x14ac:dyDescent="0.25">
      <c r="E434">
        <v>11538.46</v>
      </c>
      <c r="F434">
        <v>10</v>
      </c>
      <c r="G434">
        <v>4</v>
      </c>
      <c r="H434">
        <v>64</v>
      </c>
    </row>
    <row r="435" spans="5:8" x14ac:dyDescent="0.25">
      <c r="E435">
        <v>11718.75</v>
      </c>
      <c r="F435">
        <v>10</v>
      </c>
      <c r="G435">
        <v>1</v>
      </c>
      <c r="H435">
        <v>255</v>
      </c>
    </row>
    <row r="436" spans="5:8" x14ac:dyDescent="0.25">
      <c r="E436">
        <v>11718.75</v>
      </c>
      <c r="F436">
        <v>10</v>
      </c>
      <c r="G436">
        <v>4</v>
      </c>
      <c r="H436">
        <v>63</v>
      </c>
    </row>
    <row r="437" spans="5:8" x14ac:dyDescent="0.25">
      <c r="E437">
        <v>11718.75</v>
      </c>
      <c r="F437">
        <v>10</v>
      </c>
      <c r="G437">
        <v>16</v>
      </c>
      <c r="H437">
        <v>15</v>
      </c>
    </row>
    <row r="438" spans="5:8" x14ac:dyDescent="0.25">
      <c r="E438">
        <v>11764.71</v>
      </c>
      <c r="F438">
        <v>10</v>
      </c>
      <c r="G438">
        <v>1</v>
      </c>
      <c r="H438">
        <v>254</v>
      </c>
    </row>
    <row r="439" spans="5:8" x14ac:dyDescent="0.25">
      <c r="E439">
        <v>11811.02</v>
      </c>
      <c r="F439">
        <v>10</v>
      </c>
      <c r="G439">
        <v>1</v>
      </c>
      <c r="H439">
        <v>253</v>
      </c>
    </row>
    <row r="440" spans="5:8" x14ac:dyDescent="0.25">
      <c r="E440">
        <v>11857.71</v>
      </c>
      <c r="F440">
        <v>10</v>
      </c>
      <c r="G440">
        <v>1</v>
      </c>
      <c r="H440">
        <v>252</v>
      </c>
    </row>
    <row r="441" spans="5:8" x14ac:dyDescent="0.25">
      <c r="E441">
        <v>11904.76</v>
      </c>
      <c r="F441">
        <v>10</v>
      </c>
      <c r="G441">
        <v>1</v>
      </c>
      <c r="H441">
        <v>251</v>
      </c>
    </row>
    <row r="442" spans="5:8" x14ac:dyDescent="0.25">
      <c r="E442">
        <v>11904.76</v>
      </c>
      <c r="F442">
        <v>10</v>
      </c>
      <c r="G442">
        <v>4</v>
      </c>
      <c r="H442">
        <v>62</v>
      </c>
    </row>
    <row r="443" spans="5:8" x14ac:dyDescent="0.25">
      <c r="E443">
        <v>11952.19</v>
      </c>
      <c r="F443">
        <v>10</v>
      </c>
      <c r="G443">
        <v>1</v>
      </c>
      <c r="H443">
        <v>250</v>
      </c>
    </row>
    <row r="444" spans="5:8" x14ac:dyDescent="0.25">
      <c r="E444">
        <v>12000</v>
      </c>
      <c r="F444">
        <v>10</v>
      </c>
      <c r="G444">
        <v>1</v>
      </c>
      <c r="H444">
        <v>249</v>
      </c>
    </row>
    <row r="445" spans="5:8" x14ac:dyDescent="0.25">
      <c r="E445">
        <v>12048.19</v>
      </c>
      <c r="F445">
        <v>10</v>
      </c>
      <c r="G445">
        <v>1</v>
      </c>
      <c r="H445">
        <v>248</v>
      </c>
    </row>
    <row r="446" spans="5:8" x14ac:dyDescent="0.25">
      <c r="E446">
        <v>12096.77</v>
      </c>
      <c r="F446">
        <v>10</v>
      </c>
      <c r="G446">
        <v>1</v>
      </c>
      <c r="H446">
        <v>247</v>
      </c>
    </row>
    <row r="447" spans="5:8" x14ac:dyDescent="0.25">
      <c r="E447">
        <v>12096.77</v>
      </c>
      <c r="F447">
        <v>10</v>
      </c>
      <c r="G447">
        <v>4</v>
      </c>
      <c r="H447">
        <v>61</v>
      </c>
    </row>
    <row r="448" spans="5:8" x14ac:dyDescent="0.25">
      <c r="E448">
        <v>12145.75</v>
      </c>
      <c r="F448">
        <v>10</v>
      </c>
      <c r="G448">
        <v>1</v>
      </c>
      <c r="H448">
        <v>246</v>
      </c>
    </row>
    <row r="449" spans="5:8" x14ac:dyDescent="0.25">
      <c r="E449">
        <v>12195.12</v>
      </c>
      <c r="F449">
        <v>10</v>
      </c>
      <c r="G449">
        <v>1</v>
      </c>
      <c r="H449">
        <v>245</v>
      </c>
    </row>
    <row r="450" spans="5:8" x14ac:dyDescent="0.25">
      <c r="E450">
        <v>12244.9</v>
      </c>
      <c r="F450">
        <v>10</v>
      </c>
      <c r="G450">
        <v>1</v>
      </c>
      <c r="H450">
        <v>244</v>
      </c>
    </row>
    <row r="451" spans="5:8" x14ac:dyDescent="0.25">
      <c r="E451">
        <v>12295.08</v>
      </c>
      <c r="F451">
        <v>10</v>
      </c>
      <c r="G451">
        <v>1</v>
      </c>
      <c r="H451">
        <v>243</v>
      </c>
    </row>
    <row r="452" spans="5:8" x14ac:dyDescent="0.25">
      <c r="E452">
        <v>12295.08</v>
      </c>
      <c r="F452">
        <v>10</v>
      </c>
      <c r="G452">
        <v>4</v>
      </c>
      <c r="H452">
        <v>60</v>
      </c>
    </row>
    <row r="453" spans="5:8" x14ac:dyDescent="0.25">
      <c r="E453">
        <v>12345.68</v>
      </c>
      <c r="F453">
        <v>10</v>
      </c>
      <c r="G453">
        <v>1</v>
      </c>
      <c r="H453">
        <v>242</v>
      </c>
    </row>
    <row r="454" spans="5:8" x14ac:dyDescent="0.25">
      <c r="E454">
        <v>12396.69</v>
      </c>
      <c r="F454">
        <v>10</v>
      </c>
      <c r="G454">
        <v>1</v>
      </c>
      <c r="H454">
        <v>241</v>
      </c>
    </row>
    <row r="455" spans="5:8" x14ac:dyDescent="0.25">
      <c r="E455">
        <v>12448.13</v>
      </c>
      <c r="F455">
        <v>10</v>
      </c>
      <c r="G455">
        <v>1</v>
      </c>
      <c r="H455">
        <v>240</v>
      </c>
    </row>
    <row r="456" spans="5:8" x14ac:dyDescent="0.25">
      <c r="E456">
        <v>12500</v>
      </c>
      <c r="F456">
        <v>10</v>
      </c>
      <c r="G456">
        <v>1</v>
      </c>
      <c r="H456">
        <v>239</v>
      </c>
    </row>
    <row r="457" spans="5:8" x14ac:dyDescent="0.25">
      <c r="E457">
        <v>12500</v>
      </c>
      <c r="F457">
        <v>10</v>
      </c>
      <c r="G457">
        <v>4</v>
      </c>
      <c r="H457">
        <v>59</v>
      </c>
    </row>
    <row r="458" spans="5:8" x14ac:dyDescent="0.25">
      <c r="E458">
        <v>12500</v>
      </c>
      <c r="F458">
        <v>10</v>
      </c>
      <c r="G458">
        <v>16</v>
      </c>
      <c r="H458">
        <v>14</v>
      </c>
    </row>
    <row r="459" spans="5:8" x14ac:dyDescent="0.25">
      <c r="E459">
        <v>12552.3</v>
      </c>
      <c r="F459">
        <v>10</v>
      </c>
      <c r="G459">
        <v>1</v>
      </c>
      <c r="H459">
        <v>238</v>
      </c>
    </row>
    <row r="460" spans="5:8" x14ac:dyDescent="0.25">
      <c r="E460">
        <v>12605.04</v>
      </c>
      <c r="F460">
        <v>10</v>
      </c>
      <c r="G460">
        <v>1</v>
      </c>
      <c r="H460">
        <v>237</v>
      </c>
    </row>
    <row r="461" spans="5:8" x14ac:dyDescent="0.25">
      <c r="E461">
        <v>12658.23</v>
      </c>
      <c r="F461">
        <v>10</v>
      </c>
      <c r="G461">
        <v>1</v>
      </c>
      <c r="H461">
        <v>236</v>
      </c>
    </row>
    <row r="462" spans="5:8" x14ac:dyDescent="0.25">
      <c r="E462">
        <v>12711.86</v>
      </c>
      <c r="F462">
        <v>10</v>
      </c>
      <c r="G462">
        <v>1</v>
      </c>
      <c r="H462">
        <v>235</v>
      </c>
    </row>
    <row r="463" spans="5:8" x14ac:dyDescent="0.25">
      <c r="E463">
        <v>12711.86</v>
      </c>
      <c r="F463">
        <v>10</v>
      </c>
      <c r="G463">
        <v>4</v>
      </c>
      <c r="H463">
        <v>58</v>
      </c>
    </row>
    <row r="464" spans="5:8" x14ac:dyDescent="0.25">
      <c r="E464">
        <v>12765.96</v>
      </c>
      <c r="F464">
        <v>10</v>
      </c>
      <c r="G464">
        <v>1</v>
      </c>
      <c r="H464">
        <v>234</v>
      </c>
    </row>
    <row r="465" spans="5:8" x14ac:dyDescent="0.25">
      <c r="E465">
        <v>12820.51</v>
      </c>
      <c r="F465">
        <v>10</v>
      </c>
      <c r="G465">
        <v>1</v>
      </c>
      <c r="H465">
        <v>233</v>
      </c>
    </row>
    <row r="466" spans="5:8" x14ac:dyDescent="0.25">
      <c r="E466">
        <v>12875.54</v>
      </c>
      <c r="F466">
        <v>10</v>
      </c>
      <c r="G466">
        <v>1</v>
      </c>
      <c r="H466">
        <v>232</v>
      </c>
    </row>
    <row r="467" spans="5:8" x14ac:dyDescent="0.25">
      <c r="E467">
        <v>12931.03</v>
      </c>
      <c r="F467">
        <v>10</v>
      </c>
      <c r="G467">
        <v>1</v>
      </c>
      <c r="H467">
        <v>231</v>
      </c>
    </row>
    <row r="468" spans="5:8" x14ac:dyDescent="0.25">
      <c r="E468">
        <v>12931.03</v>
      </c>
      <c r="F468">
        <v>10</v>
      </c>
      <c r="G468">
        <v>4</v>
      </c>
      <c r="H468">
        <v>57</v>
      </c>
    </row>
    <row r="469" spans="5:8" x14ac:dyDescent="0.25">
      <c r="E469">
        <v>12987.01</v>
      </c>
      <c r="F469">
        <v>10</v>
      </c>
      <c r="G469">
        <v>1</v>
      </c>
      <c r="H469">
        <v>230</v>
      </c>
    </row>
    <row r="470" spans="5:8" x14ac:dyDescent="0.25">
      <c r="E470">
        <v>13043.48</v>
      </c>
      <c r="F470">
        <v>10</v>
      </c>
      <c r="G470">
        <v>1</v>
      </c>
      <c r="H470">
        <v>229</v>
      </c>
    </row>
    <row r="471" spans="5:8" x14ac:dyDescent="0.25">
      <c r="E471">
        <v>13100.44</v>
      </c>
      <c r="F471">
        <v>10</v>
      </c>
      <c r="G471">
        <v>1</v>
      </c>
      <c r="H471">
        <v>228</v>
      </c>
    </row>
    <row r="472" spans="5:8" x14ac:dyDescent="0.25">
      <c r="E472">
        <v>13157.89</v>
      </c>
      <c r="F472">
        <v>10</v>
      </c>
      <c r="G472">
        <v>1</v>
      </c>
      <c r="H472">
        <v>227</v>
      </c>
    </row>
    <row r="473" spans="5:8" x14ac:dyDescent="0.25">
      <c r="E473">
        <v>13157.89</v>
      </c>
      <c r="F473">
        <v>10</v>
      </c>
      <c r="G473">
        <v>4</v>
      </c>
      <c r="H473">
        <v>56</v>
      </c>
    </row>
    <row r="474" spans="5:8" x14ac:dyDescent="0.25">
      <c r="E474">
        <v>13215.86</v>
      </c>
      <c r="F474">
        <v>10</v>
      </c>
      <c r="G474">
        <v>1</v>
      </c>
      <c r="H474">
        <v>226</v>
      </c>
    </row>
    <row r="475" spans="5:8" x14ac:dyDescent="0.25">
      <c r="E475">
        <v>13274.34</v>
      </c>
      <c r="F475">
        <v>10</v>
      </c>
      <c r="G475">
        <v>1</v>
      </c>
      <c r="H475">
        <v>225</v>
      </c>
    </row>
    <row r="476" spans="5:8" x14ac:dyDescent="0.25">
      <c r="E476">
        <v>13333.33</v>
      </c>
      <c r="F476">
        <v>10</v>
      </c>
      <c r="G476">
        <v>1</v>
      </c>
      <c r="H476">
        <v>224</v>
      </c>
    </row>
    <row r="477" spans="5:8" x14ac:dyDescent="0.25">
      <c r="E477">
        <v>13392.86</v>
      </c>
      <c r="F477">
        <v>10</v>
      </c>
      <c r="G477">
        <v>1</v>
      </c>
      <c r="H477">
        <v>223</v>
      </c>
    </row>
    <row r="478" spans="5:8" x14ac:dyDescent="0.25">
      <c r="E478">
        <v>13392.86</v>
      </c>
      <c r="F478">
        <v>10</v>
      </c>
      <c r="G478">
        <v>4</v>
      </c>
      <c r="H478">
        <v>55</v>
      </c>
    </row>
    <row r="479" spans="5:8" x14ac:dyDescent="0.25">
      <c r="E479">
        <v>13392.86</v>
      </c>
      <c r="F479">
        <v>10</v>
      </c>
      <c r="G479">
        <v>16</v>
      </c>
      <c r="H479">
        <v>13</v>
      </c>
    </row>
    <row r="480" spans="5:8" x14ac:dyDescent="0.25">
      <c r="E480">
        <v>13452.91</v>
      </c>
      <c r="F480">
        <v>10</v>
      </c>
      <c r="G480">
        <v>1</v>
      </c>
      <c r="H480">
        <v>222</v>
      </c>
    </row>
    <row r="481" spans="5:8" x14ac:dyDescent="0.25">
      <c r="E481">
        <v>13513.51</v>
      </c>
      <c r="F481">
        <v>10</v>
      </c>
      <c r="G481">
        <v>1</v>
      </c>
      <c r="H481">
        <v>221</v>
      </c>
    </row>
    <row r="482" spans="5:8" x14ac:dyDescent="0.25">
      <c r="E482">
        <v>13574.66</v>
      </c>
      <c r="F482">
        <v>10</v>
      </c>
      <c r="G482">
        <v>1</v>
      </c>
      <c r="H482">
        <v>220</v>
      </c>
    </row>
    <row r="483" spans="5:8" x14ac:dyDescent="0.25">
      <c r="E483">
        <v>13636.36</v>
      </c>
      <c r="F483">
        <v>10</v>
      </c>
      <c r="G483">
        <v>1</v>
      </c>
      <c r="H483">
        <v>219</v>
      </c>
    </row>
    <row r="484" spans="5:8" x14ac:dyDescent="0.25">
      <c r="E484">
        <v>13636.36</v>
      </c>
      <c r="F484">
        <v>10</v>
      </c>
      <c r="G484">
        <v>4</v>
      </c>
      <c r="H484">
        <v>54</v>
      </c>
    </row>
    <row r="485" spans="5:8" x14ac:dyDescent="0.25">
      <c r="E485">
        <v>13698.63</v>
      </c>
      <c r="F485">
        <v>10</v>
      </c>
      <c r="G485">
        <v>1</v>
      </c>
      <c r="H485">
        <v>218</v>
      </c>
    </row>
    <row r="486" spans="5:8" x14ac:dyDescent="0.25">
      <c r="E486">
        <v>13761.47</v>
      </c>
      <c r="F486">
        <v>10</v>
      </c>
      <c r="G486">
        <v>1</v>
      </c>
      <c r="H486">
        <v>217</v>
      </c>
    </row>
    <row r="487" spans="5:8" x14ac:dyDescent="0.25">
      <c r="E487">
        <v>13824.88</v>
      </c>
      <c r="F487">
        <v>10</v>
      </c>
      <c r="G487">
        <v>1</v>
      </c>
      <c r="H487">
        <v>216</v>
      </c>
    </row>
    <row r="488" spans="5:8" x14ac:dyDescent="0.25">
      <c r="E488">
        <v>13888.89</v>
      </c>
      <c r="F488">
        <v>10</v>
      </c>
      <c r="G488">
        <v>1</v>
      </c>
      <c r="H488">
        <v>215</v>
      </c>
    </row>
    <row r="489" spans="5:8" x14ac:dyDescent="0.25">
      <c r="E489">
        <v>13888.89</v>
      </c>
      <c r="F489">
        <v>10</v>
      </c>
      <c r="G489">
        <v>4</v>
      </c>
      <c r="H489">
        <v>53</v>
      </c>
    </row>
    <row r="490" spans="5:8" x14ac:dyDescent="0.25">
      <c r="E490">
        <v>13953.49</v>
      </c>
      <c r="F490">
        <v>10</v>
      </c>
      <c r="G490">
        <v>1</v>
      </c>
      <c r="H490">
        <v>214</v>
      </c>
    </row>
    <row r="491" spans="5:8" x14ac:dyDescent="0.25">
      <c r="E491">
        <v>14018.69</v>
      </c>
      <c r="F491">
        <v>10</v>
      </c>
      <c r="G491">
        <v>1</v>
      </c>
      <c r="H491">
        <v>213</v>
      </c>
    </row>
    <row r="492" spans="5:8" x14ac:dyDescent="0.25">
      <c r="E492">
        <v>14084.51</v>
      </c>
      <c r="F492">
        <v>10</v>
      </c>
      <c r="G492">
        <v>1</v>
      </c>
      <c r="H492">
        <v>212</v>
      </c>
    </row>
    <row r="493" spans="5:8" x14ac:dyDescent="0.25">
      <c r="E493">
        <v>14150.94</v>
      </c>
      <c r="F493">
        <v>10</v>
      </c>
      <c r="G493">
        <v>1</v>
      </c>
      <c r="H493">
        <v>211</v>
      </c>
    </row>
    <row r="494" spans="5:8" x14ac:dyDescent="0.25">
      <c r="E494">
        <v>14150.94</v>
      </c>
      <c r="F494">
        <v>10</v>
      </c>
      <c r="G494">
        <v>4</v>
      </c>
      <c r="H494">
        <v>52</v>
      </c>
    </row>
    <row r="495" spans="5:8" x14ac:dyDescent="0.25">
      <c r="E495">
        <v>14218.01</v>
      </c>
      <c r="F495">
        <v>10</v>
      </c>
      <c r="G495">
        <v>1</v>
      </c>
      <c r="H495">
        <v>210</v>
      </c>
    </row>
    <row r="496" spans="5:8" x14ac:dyDescent="0.25">
      <c r="E496">
        <v>14285.71</v>
      </c>
      <c r="F496">
        <v>10</v>
      </c>
      <c r="G496">
        <v>1</v>
      </c>
      <c r="H496">
        <v>209</v>
      </c>
    </row>
    <row r="497" spans="5:8" x14ac:dyDescent="0.25">
      <c r="E497">
        <v>14354.07</v>
      </c>
      <c r="F497">
        <v>10</v>
      </c>
      <c r="G497">
        <v>1</v>
      </c>
      <c r="H497">
        <v>208</v>
      </c>
    </row>
    <row r="498" spans="5:8" x14ac:dyDescent="0.25">
      <c r="E498">
        <v>14423.08</v>
      </c>
      <c r="F498">
        <v>10</v>
      </c>
      <c r="G498">
        <v>1</v>
      </c>
      <c r="H498">
        <v>207</v>
      </c>
    </row>
    <row r="499" spans="5:8" x14ac:dyDescent="0.25">
      <c r="E499">
        <v>14423.08</v>
      </c>
      <c r="F499">
        <v>10</v>
      </c>
      <c r="G499">
        <v>4</v>
      </c>
      <c r="H499">
        <v>51</v>
      </c>
    </row>
    <row r="500" spans="5:8" x14ac:dyDescent="0.25">
      <c r="E500">
        <v>14423.08</v>
      </c>
      <c r="F500">
        <v>10</v>
      </c>
      <c r="G500">
        <v>16</v>
      </c>
      <c r="H500">
        <v>12</v>
      </c>
    </row>
    <row r="501" spans="5:8" x14ac:dyDescent="0.25">
      <c r="E501">
        <v>14492.75</v>
      </c>
      <c r="F501">
        <v>10</v>
      </c>
      <c r="G501">
        <v>1</v>
      </c>
      <c r="H501">
        <v>206</v>
      </c>
    </row>
    <row r="502" spans="5:8" x14ac:dyDescent="0.25">
      <c r="E502">
        <v>14563.11</v>
      </c>
      <c r="F502">
        <v>10</v>
      </c>
      <c r="G502">
        <v>1</v>
      </c>
      <c r="H502">
        <v>205</v>
      </c>
    </row>
    <row r="503" spans="5:8" x14ac:dyDescent="0.25">
      <c r="E503">
        <v>14634.15</v>
      </c>
      <c r="F503">
        <v>10</v>
      </c>
      <c r="G503">
        <v>1</v>
      </c>
      <c r="H503">
        <v>204</v>
      </c>
    </row>
    <row r="504" spans="5:8" x14ac:dyDescent="0.25">
      <c r="E504">
        <v>14705.88</v>
      </c>
      <c r="F504">
        <v>10</v>
      </c>
      <c r="G504">
        <v>1</v>
      </c>
      <c r="H504">
        <v>203</v>
      </c>
    </row>
    <row r="505" spans="5:8" x14ac:dyDescent="0.25">
      <c r="E505">
        <v>14705.88</v>
      </c>
      <c r="F505">
        <v>10</v>
      </c>
      <c r="G505">
        <v>4</v>
      </c>
      <c r="H505">
        <v>50</v>
      </c>
    </row>
    <row r="506" spans="5:8" x14ac:dyDescent="0.25">
      <c r="E506">
        <v>14778.33</v>
      </c>
      <c r="F506">
        <v>10</v>
      </c>
      <c r="G506">
        <v>1</v>
      </c>
      <c r="H506">
        <v>202</v>
      </c>
    </row>
    <row r="507" spans="5:8" x14ac:dyDescent="0.25">
      <c r="E507">
        <v>14851.49</v>
      </c>
      <c r="F507">
        <v>10</v>
      </c>
      <c r="G507">
        <v>1</v>
      </c>
      <c r="H507">
        <v>201</v>
      </c>
    </row>
    <row r="508" spans="5:8" x14ac:dyDescent="0.25">
      <c r="E508">
        <v>14925.37</v>
      </c>
      <c r="F508">
        <v>10</v>
      </c>
      <c r="G508">
        <v>1</v>
      </c>
      <c r="H508">
        <v>200</v>
      </c>
    </row>
    <row r="509" spans="5:8" x14ac:dyDescent="0.25">
      <c r="E509">
        <v>15000</v>
      </c>
      <c r="F509">
        <v>10</v>
      </c>
      <c r="G509">
        <v>1</v>
      </c>
      <c r="H509">
        <v>199</v>
      </c>
    </row>
    <row r="510" spans="5:8" x14ac:dyDescent="0.25">
      <c r="E510">
        <v>15000</v>
      </c>
      <c r="F510">
        <v>10</v>
      </c>
      <c r="G510">
        <v>4</v>
      </c>
      <c r="H510">
        <v>49</v>
      </c>
    </row>
    <row r="511" spans="5:8" x14ac:dyDescent="0.25">
      <c r="E511">
        <v>15075.38</v>
      </c>
      <c r="F511">
        <v>10</v>
      </c>
      <c r="G511">
        <v>1</v>
      </c>
      <c r="H511">
        <v>198</v>
      </c>
    </row>
    <row r="512" spans="5:8" x14ac:dyDescent="0.25">
      <c r="E512">
        <v>15151.52</v>
      </c>
      <c r="F512">
        <v>10</v>
      </c>
      <c r="G512">
        <v>1</v>
      </c>
      <c r="H512">
        <v>197</v>
      </c>
    </row>
    <row r="513" spans="5:8" x14ac:dyDescent="0.25">
      <c r="E513">
        <v>15228.43</v>
      </c>
      <c r="F513">
        <v>10</v>
      </c>
      <c r="G513">
        <v>1</v>
      </c>
      <c r="H513">
        <v>196</v>
      </c>
    </row>
    <row r="514" spans="5:8" x14ac:dyDescent="0.25">
      <c r="E514">
        <v>15306.12</v>
      </c>
      <c r="F514">
        <v>10</v>
      </c>
      <c r="G514">
        <v>1</v>
      </c>
      <c r="H514">
        <v>195</v>
      </c>
    </row>
    <row r="515" spans="5:8" x14ac:dyDescent="0.25">
      <c r="E515">
        <v>15306.12</v>
      </c>
      <c r="F515">
        <v>10</v>
      </c>
      <c r="G515">
        <v>4</v>
      </c>
      <c r="H515">
        <v>48</v>
      </c>
    </row>
    <row r="516" spans="5:8" x14ac:dyDescent="0.25">
      <c r="E516">
        <v>15384.62</v>
      </c>
      <c r="F516">
        <v>10</v>
      </c>
      <c r="G516">
        <v>1</v>
      </c>
      <c r="H516">
        <v>194</v>
      </c>
    </row>
    <row r="517" spans="5:8" x14ac:dyDescent="0.25">
      <c r="E517">
        <v>15463.92</v>
      </c>
      <c r="F517">
        <v>10</v>
      </c>
      <c r="G517">
        <v>1</v>
      </c>
      <c r="H517">
        <v>193</v>
      </c>
    </row>
    <row r="518" spans="5:8" x14ac:dyDescent="0.25">
      <c r="E518">
        <v>15544.04</v>
      </c>
      <c r="F518">
        <v>10</v>
      </c>
      <c r="G518">
        <v>1</v>
      </c>
      <c r="H518">
        <v>192</v>
      </c>
    </row>
    <row r="519" spans="5:8" x14ac:dyDescent="0.25">
      <c r="E519">
        <v>15625</v>
      </c>
      <c r="F519">
        <v>10</v>
      </c>
      <c r="G519">
        <v>1</v>
      </c>
      <c r="H519">
        <v>191</v>
      </c>
    </row>
    <row r="520" spans="5:8" x14ac:dyDescent="0.25">
      <c r="E520">
        <v>15625</v>
      </c>
      <c r="F520">
        <v>10</v>
      </c>
      <c r="G520">
        <v>4</v>
      </c>
      <c r="H520">
        <v>47</v>
      </c>
    </row>
    <row r="521" spans="5:8" x14ac:dyDescent="0.25">
      <c r="E521">
        <v>15625</v>
      </c>
      <c r="F521">
        <v>10</v>
      </c>
      <c r="G521">
        <v>16</v>
      </c>
      <c r="H521">
        <v>11</v>
      </c>
    </row>
    <row r="522" spans="5:8" x14ac:dyDescent="0.25">
      <c r="E522">
        <v>15706.81</v>
      </c>
      <c r="F522">
        <v>10</v>
      </c>
      <c r="G522">
        <v>1</v>
      </c>
      <c r="H522">
        <v>190</v>
      </c>
    </row>
    <row r="523" spans="5:8" x14ac:dyDescent="0.25">
      <c r="E523">
        <v>15789.47</v>
      </c>
      <c r="F523">
        <v>10</v>
      </c>
      <c r="G523">
        <v>1</v>
      </c>
      <c r="H523">
        <v>189</v>
      </c>
    </row>
    <row r="524" spans="5:8" x14ac:dyDescent="0.25">
      <c r="E524">
        <v>15873.02</v>
      </c>
      <c r="F524">
        <v>10</v>
      </c>
      <c r="G524">
        <v>1</v>
      </c>
      <c r="H524">
        <v>188</v>
      </c>
    </row>
    <row r="525" spans="5:8" x14ac:dyDescent="0.25">
      <c r="E525">
        <v>15957.45</v>
      </c>
      <c r="F525">
        <v>10</v>
      </c>
      <c r="G525">
        <v>1</v>
      </c>
      <c r="H525">
        <v>187</v>
      </c>
    </row>
    <row r="526" spans="5:8" x14ac:dyDescent="0.25">
      <c r="E526">
        <v>15957.45</v>
      </c>
      <c r="F526">
        <v>10</v>
      </c>
      <c r="G526">
        <v>4</v>
      </c>
      <c r="H526">
        <v>46</v>
      </c>
    </row>
    <row r="527" spans="5:8" x14ac:dyDescent="0.25">
      <c r="E527">
        <v>16042.78</v>
      </c>
      <c r="F527">
        <v>10</v>
      </c>
      <c r="G527">
        <v>1</v>
      </c>
      <c r="H527">
        <v>186</v>
      </c>
    </row>
    <row r="528" spans="5:8" x14ac:dyDescent="0.25">
      <c r="E528">
        <v>16129.03</v>
      </c>
      <c r="F528">
        <v>10</v>
      </c>
      <c r="G528">
        <v>1</v>
      </c>
      <c r="H528">
        <v>185</v>
      </c>
    </row>
    <row r="529" spans="5:8" x14ac:dyDescent="0.25">
      <c r="E529">
        <v>16216.22</v>
      </c>
      <c r="F529">
        <v>10</v>
      </c>
      <c r="G529">
        <v>1</v>
      </c>
      <c r="H529">
        <v>184</v>
      </c>
    </row>
    <row r="530" spans="5:8" x14ac:dyDescent="0.25">
      <c r="E530">
        <v>16304.35</v>
      </c>
      <c r="F530">
        <v>10</v>
      </c>
      <c r="G530">
        <v>1</v>
      </c>
      <c r="H530">
        <v>183</v>
      </c>
    </row>
    <row r="531" spans="5:8" x14ac:dyDescent="0.25">
      <c r="E531">
        <v>16304.35</v>
      </c>
      <c r="F531">
        <v>10</v>
      </c>
      <c r="G531">
        <v>4</v>
      </c>
      <c r="H531">
        <v>45</v>
      </c>
    </row>
    <row r="532" spans="5:8" x14ac:dyDescent="0.25">
      <c r="E532">
        <v>16393.439999999999</v>
      </c>
      <c r="F532">
        <v>10</v>
      </c>
      <c r="G532">
        <v>1</v>
      </c>
      <c r="H532">
        <v>182</v>
      </c>
    </row>
    <row r="533" spans="5:8" x14ac:dyDescent="0.25">
      <c r="E533">
        <v>16483.52</v>
      </c>
      <c r="F533">
        <v>10</v>
      </c>
      <c r="G533">
        <v>1</v>
      </c>
      <c r="H533">
        <v>181</v>
      </c>
    </row>
    <row r="534" spans="5:8" x14ac:dyDescent="0.25">
      <c r="E534">
        <v>16574.59</v>
      </c>
      <c r="F534">
        <v>9</v>
      </c>
      <c r="G534">
        <v>1</v>
      </c>
      <c r="H534">
        <v>180</v>
      </c>
    </row>
    <row r="535" spans="5:8" x14ac:dyDescent="0.25">
      <c r="E535">
        <v>16666.669999999998</v>
      </c>
      <c r="F535">
        <v>9</v>
      </c>
      <c r="G535">
        <v>1</v>
      </c>
      <c r="H535">
        <v>179</v>
      </c>
    </row>
    <row r="536" spans="5:8" x14ac:dyDescent="0.25">
      <c r="E536">
        <v>16666.669999999998</v>
      </c>
      <c r="F536">
        <v>9</v>
      </c>
      <c r="G536">
        <v>4</v>
      </c>
      <c r="H536">
        <v>44</v>
      </c>
    </row>
    <row r="537" spans="5:8" x14ac:dyDescent="0.25">
      <c r="E537">
        <v>16759.78</v>
      </c>
      <c r="F537">
        <v>9</v>
      </c>
      <c r="G537">
        <v>1</v>
      </c>
      <c r="H537">
        <v>178</v>
      </c>
    </row>
    <row r="538" spans="5:8" x14ac:dyDescent="0.25">
      <c r="E538">
        <v>16853.93</v>
      </c>
      <c r="F538">
        <v>9</v>
      </c>
      <c r="G538">
        <v>1</v>
      </c>
      <c r="H538">
        <v>177</v>
      </c>
    </row>
    <row r="539" spans="5:8" x14ac:dyDescent="0.25">
      <c r="E539">
        <v>16949.150000000001</v>
      </c>
      <c r="F539">
        <v>9</v>
      </c>
      <c r="G539">
        <v>1</v>
      </c>
      <c r="H539">
        <v>176</v>
      </c>
    </row>
    <row r="540" spans="5:8" x14ac:dyDescent="0.25">
      <c r="E540">
        <v>17045.45</v>
      </c>
      <c r="F540">
        <v>9</v>
      </c>
      <c r="G540">
        <v>1</v>
      </c>
      <c r="H540">
        <v>175</v>
      </c>
    </row>
    <row r="541" spans="5:8" x14ac:dyDescent="0.25">
      <c r="E541">
        <v>17045.45</v>
      </c>
      <c r="F541">
        <v>9</v>
      </c>
      <c r="G541">
        <v>4</v>
      </c>
      <c r="H541">
        <v>43</v>
      </c>
    </row>
    <row r="542" spans="5:8" x14ac:dyDescent="0.25">
      <c r="E542">
        <v>17045.45</v>
      </c>
      <c r="F542">
        <v>9</v>
      </c>
      <c r="G542">
        <v>16</v>
      </c>
      <c r="H542">
        <v>10</v>
      </c>
    </row>
    <row r="543" spans="5:8" x14ac:dyDescent="0.25">
      <c r="E543">
        <v>17142.86</v>
      </c>
      <c r="F543">
        <v>9</v>
      </c>
      <c r="G543">
        <v>1</v>
      </c>
      <c r="H543">
        <v>174</v>
      </c>
    </row>
    <row r="544" spans="5:8" x14ac:dyDescent="0.25">
      <c r="E544">
        <v>17241.38</v>
      </c>
      <c r="F544">
        <v>9</v>
      </c>
      <c r="G544">
        <v>1</v>
      </c>
      <c r="H544">
        <v>173</v>
      </c>
    </row>
    <row r="545" spans="5:8" x14ac:dyDescent="0.25">
      <c r="E545">
        <v>17341.04</v>
      </c>
      <c r="F545">
        <v>9</v>
      </c>
      <c r="G545">
        <v>1</v>
      </c>
      <c r="H545">
        <v>172</v>
      </c>
    </row>
    <row r="546" spans="5:8" x14ac:dyDescent="0.25">
      <c r="E546">
        <v>17441.86</v>
      </c>
      <c r="F546">
        <v>9</v>
      </c>
      <c r="G546">
        <v>1</v>
      </c>
      <c r="H546">
        <v>171</v>
      </c>
    </row>
    <row r="547" spans="5:8" x14ac:dyDescent="0.25">
      <c r="E547">
        <v>17441.86</v>
      </c>
      <c r="F547">
        <v>9</v>
      </c>
      <c r="G547">
        <v>4</v>
      </c>
      <c r="H547">
        <v>42</v>
      </c>
    </row>
    <row r="548" spans="5:8" x14ac:dyDescent="0.25">
      <c r="E548">
        <v>17543.86</v>
      </c>
      <c r="F548">
        <v>9</v>
      </c>
      <c r="G548">
        <v>1</v>
      </c>
      <c r="H548">
        <v>170</v>
      </c>
    </row>
    <row r="549" spans="5:8" x14ac:dyDescent="0.25">
      <c r="E549">
        <v>17647.060000000001</v>
      </c>
      <c r="F549">
        <v>9</v>
      </c>
      <c r="G549">
        <v>1</v>
      </c>
      <c r="H549">
        <v>169</v>
      </c>
    </row>
    <row r="550" spans="5:8" x14ac:dyDescent="0.25">
      <c r="E550">
        <v>17751.48</v>
      </c>
      <c r="F550">
        <v>9</v>
      </c>
      <c r="G550">
        <v>1</v>
      </c>
      <c r="H550">
        <v>168</v>
      </c>
    </row>
    <row r="551" spans="5:8" x14ac:dyDescent="0.25">
      <c r="E551">
        <v>17857.14</v>
      </c>
      <c r="F551">
        <v>9</v>
      </c>
      <c r="G551">
        <v>1</v>
      </c>
      <c r="H551">
        <v>167</v>
      </c>
    </row>
    <row r="552" spans="5:8" x14ac:dyDescent="0.25">
      <c r="E552">
        <v>17857.14</v>
      </c>
      <c r="F552">
        <v>9</v>
      </c>
      <c r="G552">
        <v>4</v>
      </c>
      <c r="H552">
        <v>41</v>
      </c>
    </row>
    <row r="553" spans="5:8" x14ac:dyDescent="0.25">
      <c r="E553">
        <v>17964.07</v>
      </c>
      <c r="F553">
        <v>9</v>
      </c>
      <c r="G553">
        <v>1</v>
      </c>
      <c r="H553">
        <v>166</v>
      </c>
    </row>
    <row r="554" spans="5:8" x14ac:dyDescent="0.25">
      <c r="E554">
        <v>18072.29</v>
      </c>
      <c r="F554">
        <v>9</v>
      </c>
      <c r="G554">
        <v>1</v>
      </c>
      <c r="H554">
        <v>165</v>
      </c>
    </row>
    <row r="555" spans="5:8" x14ac:dyDescent="0.25">
      <c r="E555">
        <v>18181.82</v>
      </c>
      <c r="F555">
        <v>9</v>
      </c>
      <c r="G555">
        <v>1</v>
      </c>
      <c r="H555">
        <v>164</v>
      </c>
    </row>
    <row r="556" spans="5:8" x14ac:dyDescent="0.25">
      <c r="E556">
        <v>18292.68</v>
      </c>
      <c r="F556">
        <v>9</v>
      </c>
      <c r="G556">
        <v>1</v>
      </c>
      <c r="H556">
        <v>163</v>
      </c>
    </row>
    <row r="557" spans="5:8" x14ac:dyDescent="0.25">
      <c r="E557">
        <v>18292.68</v>
      </c>
      <c r="F557">
        <v>9</v>
      </c>
      <c r="G557">
        <v>4</v>
      </c>
      <c r="H557">
        <v>40</v>
      </c>
    </row>
    <row r="558" spans="5:8" x14ac:dyDescent="0.25">
      <c r="E558">
        <v>18404.91</v>
      </c>
      <c r="F558">
        <v>9</v>
      </c>
      <c r="G558">
        <v>1</v>
      </c>
      <c r="H558">
        <v>162</v>
      </c>
    </row>
    <row r="559" spans="5:8" x14ac:dyDescent="0.25">
      <c r="E559">
        <v>18518.52</v>
      </c>
      <c r="F559">
        <v>9</v>
      </c>
      <c r="G559">
        <v>1</v>
      </c>
      <c r="H559">
        <v>161</v>
      </c>
    </row>
    <row r="560" spans="5:8" x14ac:dyDescent="0.25">
      <c r="E560">
        <v>18633.54</v>
      </c>
      <c r="F560">
        <v>9</v>
      </c>
      <c r="G560">
        <v>1</v>
      </c>
      <c r="H560">
        <v>160</v>
      </c>
    </row>
    <row r="561" spans="5:8" x14ac:dyDescent="0.25">
      <c r="E561">
        <v>18750</v>
      </c>
      <c r="F561">
        <v>9</v>
      </c>
      <c r="G561">
        <v>1</v>
      </c>
      <c r="H561">
        <v>159</v>
      </c>
    </row>
    <row r="562" spans="5:8" x14ac:dyDescent="0.25">
      <c r="E562">
        <v>18750</v>
      </c>
      <c r="F562">
        <v>9</v>
      </c>
      <c r="G562">
        <v>4</v>
      </c>
      <c r="H562">
        <v>39</v>
      </c>
    </row>
    <row r="563" spans="5:8" x14ac:dyDescent="0.25">
      <c r="E563">
        <v>18750</v>
      </c>
      <c r="F563">
        <v>9</v>
      </c>
      <c r="G563">
        <v>16</v>
      </c>
      <c r="H563">
        <v>9</v>
      </c>
    </row>
    <row r="564" spans="5:8" x14ac:dyDescent="0.25">
      <c r="E564">
        <v>18867.919999999998</v>
      </c>
      <c r="F564">
        <v>9</v>
      </c>
      <c r="G564">
        <v>1</v>
      </c>
      <c r="H564">
        <v>158</v>
      </c>
    </row>
    <row r="565" spans="5:8" x14ac:dyDescent="0.25">
      <c r="E565">
        <v>18987.34</v>
      </c>
      <c r="F565">
        <v>9</v>
      </c>
      <c r="G565">
        <v>1</v>
      </c>
      <c r="H565">
        <v>157</v>
      </c>
    </row>
    <row r="566" spans="5:8" x14ac:dyDescent="0.25">
      <c r="E566">
        <v>19108.28</v>
      </c>
      <c r="F566">
        <v>9</v>
      </c>
      <c r="G566">
        <v>1</v>
      </c>
      <c r="H566">
        <v>156</v>
      </c>
    </row>
    <row r="567" spans="5:8" x14ac:dyDescent="0.25">
      <c r="E567">
        <v>19230.77</v>
      </c>
      <c r="F567">
        <v>9</v>
      </c>
      <c r="G567">
        <v>1</v>
      </c>
      <c r="H567">
        <v>155</v>
      </c>
    </row>
    <row r="568" spans="5:8" x14ac:dyDescent="0.25">
      <c r="E568">
        <v>19230.77</v>
      </c>
      <c r="F568">
        <v>9</v>
      </c>
      <c r="G568">
        <v>4</v>
      </c>
      <c r="H568">
        <v>38</v>
      </c>
    </row>
    <row r="569" spans="5:8" x14ac:dyDescent="0.25">
      <c r="E569">
        <v>19354.84</v>
      </c>
      <c r="F569">
        <v>9</v>
      </c>
      <c r="G569">
        <v>1</v>
      </c>
      <c r="H569">
        <v>154</v>
      </c>
    </row>
    <row r="570" spans="5:8" x14ac:dyDescent="0.25">
      <c r="E570">
        <v>19480.52</v>
      </c>
      <c r="F570">
        <v>9</v>
      </c>
      <c r="G570">
        <v>1</v>
      </c>
      <c r="H570">
        <v>153</v>
      </c>
    </row>
    <row r="571" spans="5:8" x14ac:dyDescent="0.25">
      <c r="E571">
        <v>19607.84</v>
      </c>
      <c r="F571">
        <v>9</v>
      </c>
      <c r="G571">
        <v>1</v>
      </c>
      <c r="H571">
        <v>152</v>
      </c>
    </row>
    <row r="572" spans="5:8" x14ac:dyDescent="0.25">
      <c r="E572">
        <v>19736.84</v>
      </c>
      <c r="F572">
        <v>9</v>
      </c>
      <c r="G572">
        <v>1</v>
      </c>
      <c r="H572">
        <v>151</v>
      </c>
    </row>
    <row r="573" spans="5:8" x14ac:dyDescent="0.25">
      <c r="E573">
        <v>19736.84</v>
      </c>
      <c r="F573">
        <v>9</v>
      </c>
      <c r="G573">
        <v>4</v>
      </c>
      <c r="H573">
        <v>37</v>
      </c>
    </row>
    <row r="574" spans="5:8" x14ac:dyDescent="0.25">
      <c r="E574">
        <v>19867.55</v>
      </c>
      <c r="F574">
        <v>9</v>
      </c>
      <c r="G574">
        <v>1</v>
      </c>
      <c r="H574">
        <v>150</v>
      </c>
    </row>
    <row r="575" spans="5:8" x14ac:dyDescent="0.25">
      <c r="E575">
        <v>20000</v>
      </c>
      <c r="F575">
        <v>9</v>
      </c>
      <c r="G575">
        <v>1</v>
      </c>
      <c r="H575">
        <v>149</v>
      </c>
    </row>
    <row r="576" spans="5:8" x14ac:dyDescent="0.25">
      <c r="E576">
        <v>20134.23</v>
      </c>
      <c r="F576">
        <v>9</v>
      </c>
      <c r="G576">
        <v>1</v>
      </c>
      <c r="H576">
        <v>148</v>
      </c>
    </row>
    <row r="577" spans="5:8" x14ac:dyDescent="0.25">
      <c r="E577">
        <v>20270.27</v>
      </c>
      <c r="F577">
        <v>9</v>
      </c>
      <c r="G577">
        <v>1</v>
      </c>
      <c r="H577">
        <v>147</v>
      </c>
    </row>
    <row r="578" spans="5:8" x14ac:dyDescent="0.25">
      <c r="E578">
        <v>20270.27</v>
      </c>
      <c r="F578">
        <v>9</v>
      </c>
      <c r="G578">
        <v>4</v>
      </c>
      <c r="H578">
        <v>36</v>
      </c>
    </row>
    <row r="579" spans="5:8" x14ac:dyDescent="0.25">
      <c r="E579">
        <v>20408.16</v>
      </c>
      <c r="F579">
        <v>9</v>
      </c>
      <c r="G579">
        <v>1</v>
      </c>
      <c r="H579">
        <v>146</v>
      </c>
    </row>
    <row r="580" spans="5:8" x14ac:dyDescent="0.25">
      <c r="E580">
        <v>20547.95</v>
      </c>
      <c r="F580">
        <v>9</v>
      </c>
      <c r="G580">
        <v>1</v>
      </c>
      <c r="H580">
        <v>145</v>
      </c>
    </row>
    <row r="581" spans="5:8" x14ac:dyDescent="0.25">
      <c r="E581">
        <v>20689.66</v>
      </c>
      <c r="F581">
        <v>9</v>
      </c>
      <c r="G581">
        <v>1</v>
      </c>
      <c r="H581">
        <v>144</v>
      </c>
    </row>
    <row r="582" spans="5:8" x14ac:dyDescent="0.25">
      <c r="E582">
        <v>20833.330000000002</v>
      </c>
      <c r="F582">
        <v>9</v>
      </c>
      <c r="G582">
        <v>1</v>
      </c>
      <c r="H582">
        <v>143</v>
      </c>
    </row>
    <row r="583" spans="5:8" x14ac:dyDescent="0.25">
      <c r="E583">
        <v>20833.330000000002</v>
      </c>
      <c r="F583">
        <v>9</v>
      </c>
      <c r="G583">
        <v>4</v>
      </c>
      <c r="H583">
        <v>35</v>
      </c>
    </row>
    <row r="584" spans="5:8" x14ac:dyDescent="0.25">
      <c r="E584">
        <v>20833.330000000002</v>
      </c>
      <c r="F584">
        <v>9</v>
      </c>
      <c r="G584">
        <v>16</v>
      </c>
      <c r="H584">
        <v>8</v>
      </c>
    </row>
    <row r="585" spans="5:8" x14ac:dyDescent="0.25">
      <c r="E585">
        <v>20979.02</v>
      </c>
      <c r="F585">
        <v>9</v>
      </c>
      <c r="G585">
        <v>1</v>
      </c>
      <c r="H585">
        <v>142</v>
      </c>
    </row>
    <row r="586" spans="5:8" x14ac:dyDescent="0.25">
      <c r="E586">
        <v>21126.76</v>
      </c>
      <c r="F586">
        <v>9</v>
      </c>
      <c r="G586">
        <v>1</v>
      </c>
      <c r="H586">
        <v>141</v>
      </c>
    </row>
    <row r="587" spans="5:8" x14ac:dyDescent="0.25">
      <c r="E587">
        <v>21276.6</v>
      </c>
      <c r="F587">
        <v>9</v>
      </c>
      <c r="G587">
        <v>1</v>
      </c>
      <c r="H587">
        <v>140</v>
      </c>
    </row>
    <row r="588" spans="5:8" x14ac:dyDescent="0.25">
      <c r="E588">
        <v>21428.57</v>
      </c>
      <c r="F588">
        <v>9</v>
      </c>
      <c r="G588">
        <v>1</v>
      </c>
      <c r="H588">
        <v>139</v>
      </c>
    </row>
    <row r="589" spans="5:8" x14ac:dyDescent="0.25">
      <c r="E589">
        <v>21428.57</v>
      </c>
      <c r="F589">
        <v>9</v>
      </c>
      <c r="G589">
        <v>4</v>
      </c>
      <c r="H589">
        <v>34</v>
      </c>
    </row>
    <row r="590" spans="5:8" x14ac:dyDescent="0.25">
      <c r="E590">
        <v>21582.73</v>
      </c>
      <c r="F590">
        <v>9</v>
      </c>
      <c r="G590">
        <v>1</v>
      </c>
      <c r="H590">
        <v>138</v>
      </c>
    </row>
    <row r="591" spans="5:8" x14ac:dyDescent="0.25">
      <c r="E591">
        <v>21739.13</v>
      </c>
      <c r="F591">
        <v>9</v>
      </c>
      <c r="G591">
        <v>1</v>
      </c>
      <c r="H591">
        <v>137</v>
      </c>
    </row>
    <row r="592" spans="5:8" x14ac:dyDescent="0.25">
      <c r="E592">
        <v>21897.81</v>
      </c>
      <c r="F592">
        <v>9</v>
      </c>
      <c r="G592">
        <v>1</v>
      </c>
      <c r="H592">
        <v>136</v>
      </c>
    </row>
    <row r="593" spans="5:8" x14ac:dyDescent="0.25">
      <c r="E593">
        <v>22058.82</v>
      </c>
      <c r="F593">
        <v>9</v>
      </c>
      <c r="G593">
        <v>1</v>
      </c>
      <c r="H593">
        <v>135</v>
      </c>
    </row>
    <row r="594" spans="5:8" x14ac:dyDescent="0.25">
      <c r="E594">
        <v>22058.82</v>
      </c>
      <c r="F594">
        <v>9</v>
      </c>
      <c r="G594">
        <v>4</v>
      </c>
      <c r="H594">
        <v>33</v>
      </c>
    </row>
    <row r="595" spans="5:8" x14ac:dyDescent="0.25">
      <c r="E595">
        <v>22222.22</v>
      </c>
      <c r="F595">
        <v>9</v>
      </c>
      <c r="G595">
        <v>1</v>
      </c>
      <c r="H595">
        <v>134</v>
      </c>
    </row>
    <row r="596" spans="5:8" x14ac:dyDescent="0.25">
      <c r="E596">
        <v>22388.06</v>
      </c>
      <c r="F596">
        <v>9</v>
      </c>
      <c r="G596">
        <v>1</v>
      </c>
      <c r="H596">
        <v>133</v>
      </c>
    </row>
    <row r="597" spans="5:8" x14ac:dyDescent="0.25">
      <c r="E597">
        <v>22556.39</v>
      </c>
      <c r="F597">
        <v>9</v>
      </c>
      <c r="G597">
        <v>1</v>
      </c>
      <c r="H597">
        <v>132</v>
      </c>
    </row>
    <row r="598" spans="5:8" x14ac:dyDescent="0.25">
      <c r="E598">
        <v>22727.27</v>
      </c>
      <c r="F598">
        <v>9</v>
      </c>
      <c r="G598">
        <v>1</v>
      </c>
      <c r="H598">
        <v>131</v>
      </c>
    </row>
    <row r="599" spans="5:8" x14ac:dyDescent="0.25">
      <c r="E599">
        <v>22727.27</v>
      </c>
      <c r="F599">
        <v>9</v>
      </c>
      <c r="G599">
        <v>4</v>
      </c>
      <c r="H599">
        <v>32</v>
      </c>
    </row>
    <row r="600" spans="5:8" x14ac:dyDescent="0.25">
      <c r="E600">
        <v>22900.76</v>
      </c>
      <c r="F600">
        <v>9</v>
      </c>
      <c r="G600">
        <v>1</v>
      </c>
      <c r="H600">
        <v>130</v>
      </c>
    </row>
    <row r="601" spans="5:8" x14ac:dyDescent="0.25">
      <c r="E601">
        <v>23076.92</v>
      </c>
      <c r="F601">
        <v>9</v>
      </c>
      <c r="G601">
        <v>1</v>
      </c>
      <c r="H601">
        <v>129</v>
      </c>
    </row>
    <row r="602" spans="5:8" x14ac:dyDescent="0.25">
      <c r="E602">
        <v>23255.81</v>
      </c>
      <c r="F602">
        <v>9</v>
      </c>
      <c r="G602">
        <v>1</v>
      </c>
      <c r="H602">
        <v>128</v>
      </c>
    </row>
    <row r="603" spans="5:8" x14ac:dyDescent="0.25">
      <c r="E603">
        <v>23437.5</v>
      </c>
      <c r="F603">
        <v>9</v>
      </c>
      <c r="G603">
        <v>1</v>
      </c>
      <c r="H603">
        <v>127</v>
      </c>
    </row>
    <row r="604" spans="5:8" x14ac:dyDescent="0.25">
      <c r="E604">
        <v>23437.5</v>
      </c>
      <c r="F604">
        <v>9</v>
      </c>
      <c r="G604">
        <v>4</v>
      </c>
      <c r="H604">
        <v>31</v>
      </c>
    </row>
    <row r="605" spans="5:8" x14ac:dyDescent="0.25">
      <c r="E605">
        <v>23437.5</v>
      </c>
      <c r="F605">
        <v>9</v>
      </c>
      <c r="G605">
        <v>16</v>
      </c>
      <c r="H605">
        <v>7</v>
      </c>
    </row>
    <row r="606" spans="5:8" x14ac:dyDescent="0.25">
      <c r="E606">
        <v>23622.05</v>
      </c>
      <c r="F606">
        <v>9</v>
      </c>
      <c r="G606">
        <v>1</v>
      </c>
      <c r="H606">
        <v>126</v>
      </c>
    </row>
    <row r="607" spans="5:8" x14ac:dyDescent="0.25">
      <c r="E607">
        <v>23809.52</v>
      </c>
      <c r="F607">
        <v>9</v>
      </c>
      <c r="G607">
        <v>1</v>
      </c>
      <c r="H607">
        <v>125</v>
      </c>
    </row>
    <row r="608" spans="5:8" x14ac:dyDescent="0.25">
      <c r="E608">
        <v>24000</v>
      </c>
      <c r="F608">
        <v>9</v>
      </c>
      <c r="G608">
        <v>1</v>
      </c>
      <c r="H608">
        <v>124</v>
      </c>
    </row>
    <row r="609" spans="5:8" x14ac:dyDescent="0.25">
      <c r="E609">
        <v>24193.55</v>
      </c>
      <c r="F609">
        <v>9</v>
      </c>
      <c r="G609">
        <v>1</v>
      </c>
      <c r="H609">
        <v>123</v>
      </c>
    </row>
    <row r="610" spans="5:8" x14ac:dyDescent="0.25">
      <c r="E610">
        <v>24193.55</v>
      </c>
      <c r="F610">
        <v>9</v>
      </c>
      <c r="G610">
        <v>4</v>
      </c>
      <c r="H610">
        <v>30</v>
      </c>
    </row>
    <row r="611" spans="5:8" x14ac:dyDescent="0.25">
      <c r="E611">
        <v>24390.240000000002</v>
      </c>
      <c r="F611">
        <v>9</v>
      </c>
      <c r="G611">
        <v>1</v>
      </c>
      <c r="H611">
        <v>122</v>
      </c>
    </row>
    <row r="612" spans="5:8" x14ac:dyDescent="0.25">
      <c r="E612">
        <v>24590.16</v>
      </c>
      <c r="F612">
        <v>9</v>
      </c>
      <c r="G612">
        <v>1</v>
      </c>
      <c r="H612">
        <v>121</v>
      </c>
    </row>
    <row r="613" spans="5:8" x14ac:dyDescent="0.25">
      <c r="E613">
        <v>24793.39</v>
      </c>
      <c r="F613">
        <v>9</v>
      </c>
      <c r="G613">
        <v>1</v>
      </c>
      <c r="H613">
        <v>120</v>
      </c>
    </row>
    <row r="614" spans="5:8" x14ac:dyDescent="0.25">
      <c r="E614">
        <v>25000</v>
      </c>
      <c r="F614">
        <v>9</v>
      </c>
      <c r="G614">
        <v>1</v>
      </c>
      <c r="H614">
        <v>119</v>
      </c>
    </row>
    <row r="615" spans="5:8" x14ac:dyDescent="0.25">
      <c r="E615">
        <v>25000</v>
      </c>
      <c r="F615">
        <v>9</v>
      </c>
      <c r="G615">
        <v>4</v>
      </c>
      <c r="H615">
        <v>29</v>
      </c>
    </row>
    <row r="616" spans="5:8" x14ac:dyDescent="0.25">
      <c r="E616">
        <v>25210.080000000002</v>
      </c>
      <c r="F616">
        <v>9</v>
      </c>
      <c r="G616">
        <v>1</v>
      </c>
      <c r="H616">
        <v>118</v>
      </c>
    </row>
    <row r="617" spans="5:8" x14ac:dyDescent="0.25">
      <c r="E617">
        <v>25423.73</v>
      </c>
      <c r="F617">
        <v>9</v>
      </c>
      <c r="G617">
        <v>1</v>
      </c>
      <c r="H617">
        <v>117</v>
      </c>
    </row>
    <row r="618" spans="5:8" x14ac:dyDescent="0.25">
      <c r="E618">
        <v>25641.03</v>
      </c>
      <c r="F618">
        <v>9</v>
      </c>
      <c r="G618">
        <v>1</v>
      </c>
      <c r="H618">
        <v>116</v>
      </c>
    </row>
    <row r="619" spans="5:8" x14ac:dyDescent="0.25">
      <c r="E619">
        <v>25862.07</v>
      </c>
      <c r="F619">
        <v>9</v>
      </c>
      <c r="G619">
        <v>1</v>
      </c>
      <c r="H619">
        <v>115</v>
      </c>
    </row>
    <row r="620" spans="5:8" x14ac:dyDescent="0.25">
      <c r="E620">
        <v>25862.07</v>
      </c>
      <c r="F620">
        <v>9</v>
      </c>
      <c r="G620">
        <v>4</v>
      </c>
      <c r="H620">
        <v>28</v>
      </c>
    </row>
    <row r="621" spans="5:8" x14ac:dyDescent="0.25">
      <c r="E621">
        <v>26086.959999999999</v>
      </c>
      <c r="F621">
        <v>9</v>
      </c>
      <c r="G621">
        <v>1</v>
      </c>
      <c r="H621">
        <v>114</v>
      </c>
    </row>
    <row r="622" spans="5:8" x14ac:dyDescent="0.25">
      <c r="E622">
        <v>26315.79</v>
      </c>
      <c r="F622">
        <v>9</v>
      </c>
      <c r="G622">
        <v>1</v>
      </c>
      <c r="H622">
        <v>113</v>
      </c>
    </row>
    <row r="623" spans="5:8" x14ac:dyDescent="0.25">
      <c r="E623">
        <v>26548.67</v>
      </c>
      <c r="F623">
        <v>9</v>
      </c>
      <c r="G623">
        <v>1</v>
      </c>
      <c r="H623">
        <v>112</v>
      </c>
    </row>
    <row r="624" spans="5:8" x14ac:dyDescent="0.25">
      <c r="E624">
        <v>26785.71</v>
      </c>
      <c r="F624">
        <v>9</v>
      </c>
      <c r="G624">
        <v>1</v>
      </c>
      <c r="H624">
        <v>111</v>
      </c>
    </row>
    <row r="625" spans="5:8" x14ac:dyDescent="0.25">
      <c r="E625">
        <v>26785.71</v>
      </c>
      <c r="F625">
        <v>9</v>
      </c>
      <c r="G625">
        <v>4</v>
      </c>
      <c r="H625">
        <v>27</v>
      </c>
    </row>
    <row r="626" spans="5:8" x14ac:dyDescent="0.25">
      <c r="E626">
        <v>26785.71</v>
      </c>
      <c r="F626">
        <v>9</v>
      </c>
      <c r="G626">
        <v>16</v>
      </c>
      <c r="H626">
        <v>6</v>
      </c>
    </row>
    <row r="627" spans="5:8" x14ac:dyDescent="0.25">
      <c r="E627">
        <v>27027.03</v>
      </c>
      <c r="F627">
        <v>9</v>
      </c>
      <c r="G627">
        <v>1</v>
      </c>
      <c r="H627">
        <v>110</v>
      </c>
    </row>
    <row r="628" spans="5:8" x14ac:dyDescent="0.25">
      <c r="E628">
        <v>27272.73</v>
      </c>
      <c r="F628">
        <v>9</v>
      </c>
      <c r="G628">
        <v>1</v>
      </c>
      <c r="H628">
        <v>109</v>
      </c>
    </row>
    <row r="629" spans="5:8" x14ac:dyDescent="0.25">
      <c r="E629">
        <v>27522.94</v>
      </c>
      <c r="F629">
        <v>9</v>
      </c>
      <c r="G629">
        <v>1</v>
      </c>
      <c r="H629">
        <v>108</v>
      </c>
    </row>
    <row r="630" spans="5:8" x14ac:dyDescent="0.25">
      <c r="E630">
        <v>27777.78</v>
      </c>
      <c r="F630">
        <v>9</v>
      </c>
      <c r="G630">
        <v>1</v>
      </c>
      <c r="H630">
        <v>107</v>
      </c>
    </row>
    <row r="631" spans="5:8" x14ac:dyDescent="0.25">
      <c r="E631">
        <v>27777.78</v>
      </c>
      <c r="F631">
        <v>9</v>
      </c>
      <c r="G631">
        <v>4</v>
      </c>
      <c r="H631">
        <v>26</v>
      </c>
    </row>
    <row r="632" spans="5:8" x14ac:dyDescent="0.25">
      <c r="E632">
        <v>28037.38</v>
      </c>
      <c r="F632">
        <v>9</v>
      </c>
      <c r="G632">
        <v>1</v>
      </c>
      <c r="H632">
        <v>106</v>
      </c>
    </row>
    <row r="633" spans="5:8" x14ac:dyDescent="0.25">
      <c r="E633">
        <v>28301.89</v>
      </c>
      <c r="F633">
        <v>9</v>
      </c>
      <c r="G633">
        <v>1</v>
      </c>
      <c r="H633">
        <v>105</v>
      </c>
    </row>
    <row r="634" spans="5:8" x14ac:dyDescent="0.25">
      <c r="E634">
        <v>28571.43</v>
      </c>
      <c r="F634">
        <v>9</v>
      </c>
      <c r="G634">
        <v>1</v>
      </c>
      <c r="H634">
        <v>104</v>
      </c>
    </row>
    <row r="635" spans="5:8" x14ac:dyDescent="0.25">
      <c r="E635">
        <v>28846.15</v>
      </c>
      <c r="F635">
        <v>9</v>
      </c>
      <c r="G635">
        <v>1</v>
      </c>
      <c r="H635">
        <v>103</v>
      </c>
    </row>
    <row r="636" spans="5:8" x14ac:dyDescent="0.25">
      <c r="E636">
        <v>28846.15</v>
      </c>
      <c r="F636">
        <v>9</v>
      </c>
      <c r="G636">
        <v>4</v>
      </c>
      <c r="H636">
        <v>25</v>
      </c>
    </row>
    <row r="637" spans="5:8" x14ac:dyDescent="0.25">
      <c r="E637">
        <v>29126.21</v>
      </c>
      <c r="F637">
        <v>9</v>
      </c>
      <c r="G637">
        <v>1</v>
      </c>
      <c r="H637">
        <v>102</v>
      </c>
    </row>
    <row r="638" spans="5:8" x14ac:dyDescent="0.25">
      <c r="E638">
        <v>29411.759999999998</v>
      </c>
      <c r="F638">
        <v>9</v>
      </c>
      <c r="G638">
        <v>1</v>
      </c>
      <c r="H638">
        <v>101</v>
      </c>
    </row>
    <row r="639" spans="5:8" x14ac:dyDescent="0.25">
      <c r="E639">
        <v>29702.97</v>
      </c>
      <c r="F639">
        <v>9</v>
      </c>
      <c r="G639">
        <v>1</v>
      </c>
      <c r="H639">
        <v>100</v>
      </c>
    </row>
    <row r="640" spans="5:8" x14ac:dyDescent="0.25">
      <c r="E640">
        <v>30000</v>
      </c>
      <c r="F640">
        <v>9</v>
      </c>
      <c r="G640">
        <v>1</v>
      </c>
      <c r="H640">
        <v>99</v>
      </c>
    </row>
    <row r="641" spans="5:8" x14ac:dyDescent="0.25">
      <c r="E641">
        <v>30000</v>
      </c>
      <c r="F641">
        <v>9</v>
      </c>
      <c r="G641">
        <v>4</v>
      </c>
      <c r="H641">
        <v>24</v>
      </c>
    </row>
    <row r="642" spans="5:8" x14ac:dyDescent="0.25">
      <c r="E642">
        <v>30303.03</v>
      </c>
      <c r="F642">
        <v>9</v>
      </c>
      <c r="G642">
        <v>1</v>
      </c>
      <c r="H642">
        <v>98</v>
      </c>
    </row>
    <row r="643" spans="5:8" x14ac:dyDescent="0.25">
      <c r="E643">
        <v>30612.240000000002</v>
      </c>
      <c r="F643">
        <v>9</v>
      </c>
      <c r="G643">
        <v>1</v>
      </c>
      <c r="H643">
        <v>97</v>
      </c>
    </row>
    <row r="644" spans="5:8" x14ac:dyDescent="0.25">
      <c r="E644">
        <v>30927.84</v>
      </c>
      <c r="F644">
        <v>9</v>
      </c>
      <c r="G644">
        <v>1</v>
      </c>
      <c r="H644">
        <v>96</v>
      </c>
    </row>
    <row r="645" spans="5:8" x14ac:dyDescent="0.25">
      <c r="E645">
        <v>31250</v>
      </c>
      <c r="F645">
        <v>9</v>
      </c>
      <c r="G645">
        <v>1</v>
      </c>
      <c r="H645">
        <v>95</v>
      </c>
    </row>
    <row r="646" spans="5:8" x14ac:dyDescent="0.25">
      <c r="E646">
        <v>31250</v>
      </c>
      <c r="F646">
        <v>9</v>
      </c>
      <c r="G646">
        <v>4</v>
      </c>
      <c r="H646">
        <v>23</v>
      </c>
    </row>
    <row r="647" spans="5:8" x14ac:dyDescent="0.25">
      <c r="E647">
        <v>31250</v>
      </c>
      <c r="F647">
        <v>9</v>
      </c>
      <c r="G647">
        <v>16</v>
      </c>
      <c r="H647">
        <v>5</v>
      </c>
    </row>
    <row r="648" spans="5:8" x14ac:dyDescent="0.25">
      <c r="E648">
        <v>31578.95</v>
      </c>
      <c r="F648">
        <v>9</v>
      </c>
      <c r="G648">
        <v>1</v>
      </c>
      <c r="H648">
        <v>94</v>
      </c>
    </row>
    <row r="649" spans="5:8" x14ac:dyDescent="0.25">
      <c r="E649">
        <v>31914.89</v>
      </c>
      <c r="F649">
        <v>9</v>
      </c>
      <c r="G649">
        <v>1</v>
      </c>
      <c r="H649">
        <v>93</v>
      </c>
    </row>
    <row r="650" spans="5:8" x14ac:dyDescent="0.25">
      <c r="E650">
        <v>32258.06</v>
      </c>
      <c r="F650">
        <v>9</v>
      </c>
      <c r="G650">
        <v>1</v>
      </c>
      <c r="H650">
        <v>92</v>
      </c>
    </row>
    <row r="651" spans="5:8" x14ac:dyDescent="0.25">
      <c r="E651">
        <v>32608.7</v>
      </c>
      <c r="F651">
        <v>9</v>
      </c>
      <c r="G651">
        <v>1</v>
      </c>
      <c r="H651">
        <v>91</v>
      </c>
    </row>
    <row r="652" spans="5:8" x14ac:dyDescent="0.25">
      <c r="E652">
        <v>32608.7</v>
      </c>
      <c r="F652">
        <v>9</v>
      </c>
      <c r="G652">
        <v>4</v>
      </c>
      <c r="H652">
        <v>22</v>
      </c>
    </row>
    <row r="653" spans="5:8" x14ac:dyDescent="0.25">
      <c r="E653">
        <v>32967.03</v>
      </c>
      <c r="F653">
        <v>9</v>
      </c>
      <c r="G653">
        <v>1</v>
      </c>
      <c r="H653">
        <v>90</v>
      </c>
    </row>
    <row r="654" spans="5:8" x14ac:dyDescent="0.25">
      <c r="E654">
        <v>33333.33</v>
      </c>
      <c r="F654">
        <v>8</v>
      </c>
      <c r="G654">
        <v>1</v>
      </c>
      <c r="H654">
        <v>89</v>
      </c>
    </row>
    <row r="655" spans="5:8" x14ac:dyDescent="0.25">
      <c r="E655">
        <v>33707.870000000003</v>
      </c>
      <c r="F655">
        <v>8</v>
      </c>
      <c r="G655">
        <v>1</v>
      </c>
      <c r="H655">
        <v>88</v>
      </c>
    </row>
    <row r="656" spans="5:8" x14ac:dyDescent="0.25">
      <c r="E656">
        <v>34090.910000000003</v>
      </c>
      <c r="F656">
        <v>8</v>
      </c>
      <c r="G656">
        <v>1</v>
      </c>
      <c r="H656">
        <v>87</v>
      </c>
    </row>
    <row r="657" spans="5:8" x14ac:dyDescent="0.25">
      <c r="E657">
        <v>34090.910000000003</v>
      </c>
      <c r="F657">
        <v>8</v>
      </c>
      <c r="G657">
        <v>4</v>
      </c>
      <c r="H657">
        <v>21</v>
      </c>
    </row>
    <row r="658" spans="5:8" x14ac:dyDescent="0.25">
      <c r="E658">
        <v>34482.76</v>
      </c>
      <c r="F658">
        <v>8</v>
      </c>
      <c r="G658">
        <v>1</v>
      </c>
      <c r="H658">
        <v>86</v>
      </c>
    </row>
    <row r="659" spans="5:8" x14ac:dyDescent="0.25">
      <c r="E659">
        <v>34883.72</v>
      </c>
      <c r="F659">
        <v>8</v>
      </c>
      <c r="G659">
        <v>1</v>
      </c>
      <c r="H659">
        <v>85</v>
      </c>
    </row>
    <row r="660" spans="5:8" x14ac:dyDescent="0.25">
      <c r="E660">
        <v>35294.120000000003</v>
      </c>
      <c r="F660">
        <v>8</v>
      </c>
      <c r="G660">
        <v>1</v>
      </c>
      <c r="H660">
        <v>84</v>
      </c>
    </row>
    <row r="661" spans="5:8" x14ac:dyDescent="0.25">
      <c r="E661">
        <v>35714.29</v>
      </c>
      <c r="F661">
        <v>8</v>
      </c>
      <c r="G661">
        <v>1</v>
      </c>
      <c r="H661">
        <v>83</v>
      </c>
    </row>
    <row r="662" spans="5:8" x14ac:dyDescent="0.25">
      <c r="E662">
        <v>35714.29</v>
      </c>
      <c r="F662">
        <v>8</v>
      </c>
      <c r="G662">
        <v>4</v>
      </c>
      <c r="H662">
        <v>20</v>
      </c>
    </row>
    <row r="663" spans="5:8" x14ac:dyDescent="0.25">
      <c r="E663">
        <v>36144.58</v>
      </c>
      <c r="F663">
        <v>8</v>
      </c>
      <c r="G663">
        <v>1</v>
      </c>
      <c r="H663">
        <v>82</v>
      </c>
    </row>
    <row r="664" spans="5:8" x14ac:dyDescent="0.25">
      <c r="E664">
        <v>36585.370000000003</v>
      </c>
      <c r="F664">
        <v>8</v>
      </c>
      <c r="G664">
        <v>1</v>
      </c>
      <c r="H664">
        <v>81</v>
      </c>
    </row>
    <row r="665" spans="5:8" x14ac:dyDescent="0.25">
      <c r="E665">
        <v>37037.040000000001</v>
      </c>
      <c r="F665">
        <v>8</v>
      </c>
      <c r="G665">
        <v>1</v>
      </c>
      <c r="H665">
        <v>80</v>
      </c>
    </row>
    <row r="666" spans="5:8" x14ac:dyDescent="0.25">
      <c r="E666">
        <v>37500</v>
      </c>
      <c r="F666">
        <v>8</v>
      </c>
      <c r="G666">
        <v>1</v>
      </c>
      <c r="H666">
        <v>79</v>
      </c>
    </row>
    <row r="667" spans="5:8" x14ac:dyDescent="0.25">
      <c r="E667">
        <v>37500</v>
      </c>
      <c r="F667">
        <v>8</v>
      </c>
      <c r="G667">
        <v>4</v>
      </c>
      <c r="H667">
        <v>19</v>
      </c>
    </row>
    <row r="668" spans="5:8" x14ac:dyDescent="0.25">
      <c r="E668">
        <v>37500</v>
      </c>
      <c r="F668">
        <v>8</v>
      </c>
      <c r="G668">
        <v>16</v>
      </c>
      <c r="H668">
        <v>4</v>
      </c>
    </row>
    <row r="669" spans="5:8" x14ac:dyDescent="0.25">
      <c r="E669">
        <v>37974.68</v>
      </c>
      <c r="F669">
        <v>8</v>
      </c>
      <c r="G669">
        <v>1</v>
      </c>
      <c r="H669">
        <v>78</v>
      </c>
    </row>
    <row r="670" spans="5:8" x14ac:dyDescent="0.25">
      <c r="E670">
        <v>38461.54</v>
      </c>
      <c r="F670">
        <v>8</v>
      </c>
      <c r="G670">
        <v>1</v>
      </c>
      <c r="H670">
        <v>77</v>
      </c>
    </row>
    <row r="671" spans="5:8" x14ac:dyDescent="0.25">
      <c r="E671">
        <v>38961.040000000001</v>
      </c>
      <c r="F671">
        <v>8</v>
      </c>
      <c r="G671">
        <v>1</v>
      </c>
      <c r="H671">
        <v>76</v>
      </c>
    </row>
    <row r="672" spans="5:8" x14ac:dyDescent="0.25">
      <c r="E672">
        <v>39473.68</v>
      </c>
      <c r="F672">
        <v>8</v>
      </c>
      <c r="G672">
        <v>1</v>
      </c>
      <c r="H672">
        <v>75</v>
      </c>
    </row>
    <row r="673" spans="5:8" x14ac:dyDescent="0.25">
      <c r="E673">
        <v>39473.68</v>
      </c>
      <c r="F673">
        <v>8</v>
      </c>
      <c r="G673">
        <v>4</v>
      </c>
      <c r="H673">
        <v>18</v>
      </c>
    </row>
    <row r="674" spans="5:8" x14ac:dyDescent="0.25">
      <c r="E674">
        <v>40000</v>
      </c>
      <c r="F674">
        <v>8</v>
      </c>
      <c r="G674">
        <v>1</v>
      </c>
      <c r="H674">
        <v>74</v>
      </c>
    </row>
    <row r="675" spans="5:8" x14ac:dyDescent="0.25">
      <c r="E675">
        <v>40540.54</v>
      </c>
      <c r="F675">
        <v>8</v>
      </c>
      <c r="G675">
        <v>1</v>
      </c>
      <c r="H675">
        <v>73</v>
      </c>
    </row>
    <row r="676" spans="5:8" x14ac:dyDescent="0.25">
      <c r="E676">
        <v>41095.89</v>
      </c>
      <c r="F676">
        <v>8</v>
      </c>
      <c r="G676">
        <v>1</v>
      </c>
      <c r="H676">
        <v>72</v>
      </c>
    </row>
    <row r="677" spans="5:8" x14ac:dyDescent="0.25">
      <c r="E677">
        <v>41666.67</v>
      </c>
      <c r="F677">
        <v>8</v>
      </c>
      <c r="G677">
        <v>1</v>
      </c>
      <c r="H677">
        <v>71</v>
      </c>
    </row>
    <row r="678" spans="5:8" x14ac:dyDescent="0.25">
      <c r="E678">
        <v>41666.67</v>
      </c>
      <c r="F678">
        <v>8</v>
      </c>
      <c r="G678">
        <v>4</v>
      </c>
      <c r="H678">
        <v>17</v>
      </c>
    </row>
    <row r="679" spans="5:8" x14ac:dyDescent="0.25">
      <c r="E679">
        <v>42253.52</v>
      </c>
      <c r="F679">
        <v>8</v>
      </c>
      <c r="G679">
        <v>1</v>
      </c>
      <c r="H679">
        <v>70</v>
      </c>
    </row>
    <row r="680" spans="5:8" x14ac:dyDescent="0.25">
      <c r="E680">
        <v>42857.14</v>
      </c>
      <c r="F680">
        <v>8</v>
      </c>
      <c r="G680">
        <v>1</v>
      </c>
      <c r="H680">
        <v>69</v>
      </c>
    </row>
    <row r="681" spans="5:8" x14ac:dyDescent="0.25">
      <c r="E681">
        <v>43478.26</v>
      </c>
      <c r="F681">
        <v>8</v>
      </c>
      <c r="G681">
        <v>1</v>
      </c>
      <c r="H681">
        <v>68</v>
      </c>
    </row>
    <row r="682" spans="5:8" x14ac:dyDescent="0.25">
      <c r="E682">
        <v>44117.65</v>
      </c>
      <c r="F682">
        <v>8</v>
      </c>
      <c r="G682">
        <v>1</v>
      </c>
      <c r="H682">
        <v>67</v>
      </c>
    </row>
    <row r="683" spans="5:8" x14ac:dyDescent="0.25">
      <c r="E683">
        <v>44117.65</v>
      </c>
      <c r="F683">
        <v>8</v>
      </c>
      <c r="G683">
        <v>4</v>
      </c>
      <c r="H683">
        <v>16</v>
      </c>
    </row>
    <row r="684" spans="5:8" x14ac:dyDescent="0.25">
      <c r="E684">
        <v>44776.12</v>
      </c>
      <c r="F684">
        <v>8</v>
      </c>
      <c r="G684">
        <v>1</v>
      </c>
      <c r="H684">
        <v>66</v>
      </c>
    </row>
    <row r="685" spans="5:8" x14ac:dyDescent="0.25">
      <c r="E685">
        <v>45454.55</v>
      </c>
      <c r="F685">
        <v>8</v>
      </c>
      <c r="G685">
        <v>1</v>
      </c>
      <c r="H685">
        <v>65</v>
      </c>
    </row>
    <row r="686" spans="5:8" x14ac:dyDescent="0.25">
      <c r="E686">
        <v>46153.85</v>
      </c>
      <c r="F686">
        <v>8</v>
      </c>
      <c r="G686">
        <v>1</v>
      </c>
      <c r="H686">
        <v>64</v>
      </c>
    </row>
    <row r="687" spans="5:8" x14ac:dyDescent="0.25">
      <c r="E687">
        <v>46875</v>
      </c>
      <c r="F687">
        <v>8</v>
      </c>
      <c r="G687">
        <v>1</v>
      </c>
      <c r="H687">
        <v>63</v>
      </c>
    </row>
    <row r="688" spans="5:8" x14ac:dyDescent="0.25">
      <c r="E688">
        <v>46875</v>
      </c>
      <c r="F688">
        <v>8</v>
      </c>
      <c r="G688">
        <v>4</v>
      </c>
      <c r="H688">
        <v>15</v>
      </c>
    </row>
    <row r="689" spans="5:8" x14ac:dyDescent="0.25">
      <c r="E689">
        <v>46875</v>
      </c>
      <c r="F689">
        <v>8</v>
      </c>
      <c r="G689">
        <v>16</v>
      </c>
      <c r="H689">
        <v>3</v>
      </c>
    </row>
    <row r="690" spans="5:8" x14ac:dyDescent="0.25">
      <c r="E690">
        <v>47619.05</v>
      </c>
      <c r="F690">
        <v>8</v>
      </c>
      <c r="G690">
        <v>1</v>
      </c>
      <c r="H690">
        <v>62</v>
      </c>
    </row>
    <row r="691" spans="5:8" x14ac:dyDescent="0.25">
      <c r="E691">
        <v>48387.1</v>
      </c>
      <c r="F691">
        <v>8</v>
      </c>
      <c r="G691">
        <v>1</v>
      </c>
      <c r="H691">
        <v>61</v>
      </c>
    </row>
    <row r="692" spans="5:8" x14ac:dyDescent="0.25">
      <c r="E692">
        <v>49180.33</v>
      </c>
      <c r="F692">
        <v>8</v>
      </c>
      <c r="G692">
        <v>1</v>
      </c>
      <c r="H692">
        <v>60</v>
      </c>
    </row>
    <row r="693" spans="5:8" x14ac:dyDescent="0.25">
      <c r="E693">
        <v>50000</v>
      </c>
      <c r="F693">
        <v>8</v>
      </c>
      <c r="G693">
        <v>1</v>
      </c>
      <c r="H693">
        <v>59</v>
      </c>
    </row>
    <row r="694" spans="5:8" x14ac:dyDescent="0.25">
      <c r="E694">
        <v>50000</v>
      </c>
      <c r="F694">
        <v>8</v>
      </c>
      <c r="G694">
        <v>4</v>
      </c>
      <c r="H694">
        <v>14</v>
      </c>
    </row>
    <row r="695" spans="5:8" x14ac:dyDescent="0.25">
      <c r="E695">
        <v>50847.46</v>
      </c>
      <c r="F695">
        <v>8</v>
      </c>
      <c r="G695">
        <v>1</v>
      </c>
      <c r="H695">
        <v>58</v>
      </c>
    </row>
    <row r="696" spans="5:8" x14ac:dyDescent="0.25">
      <c r="E696">
        <v>51724.14</v>
      </c>
      <c r="F696">
        <v>8</v>
      </c>
      <c r="G696">
        <v>1</v>
      </c>
      <c r="H696">
        <v>57</v>
      </c>
    </row>
    <row r="697" spans="5:8" x14ac:dyDescent="0.25">
      <c r="E697">
        <v>52631.58</v>
      </c>
      <c r="F697">
        <v>8</v>
      </c>
      <c r="G697">
        <v>1</v>
      </c>
      <c r="H697">
        <v>56</v>
      </c>
    </row>
    <row r="698" spans="5:8" x14ac:dyDescent="0.25">
      <c r="E698">
        <v>53571.43</v>
      </c>
      <c r="F698">
        <v>8</v>
      </c>
      <c r="G698">
        <v>1</v>
      </c>
      <c r="H698">
        <v>55</v>
      </c>
    </row>
    <row r="699" spans="5:8" x14ac:dyDescent="0.25">
      <c r="E699">
        <v>53571.43</v>
      </c>
      <c r="F699">
        <v>8</v>
      </c>
      <c r="G699">
        <v>4</v>
      </c>
      <c r="H699">
        <v>13</v>
      </c>
    </row>
    <row r="700" spans="5:8" x14ac:dyDescent="0.25">
      <c r="E700">
        <v>54545.45</v>
      </c>
      <c r="F700">
        <v>8</v>
      </c>
      <c r="G700">
        <v>1</v>
      </c>
      <c r="H700">
        <v>54</v>
      </c>
    </row>
    <row r="701" spans="5:8" x14ac:dyDescent="0.25">
      <c r="E701">
        <v>55555.56</v>
      </c>
      <c r="F701">
        <v>8</v>
      </c>
      <c r="G701">
        <v>1</v>
      </c>
      <c r="H701">
        <v>53</v>
      </c>
    </row>
    <row r="702" spans="5:8" x14ac:dyDescent="0.25">
      <c r="E702">
        <v>56603.77</v>
      </c>
      <c r="F702">
        <v>8</v>
      </c>
      <c r="G702">
        <v>1</v>
      </c>
      <c r="H702">
        <v>52</v>
      </c>
    </row>
    <row r="703" spans="5:8" x14ac:dyDescent="0.25">
      <c r="E703">
        <v>57692.31</v>
      </c>
      <c r="F703">
        <v>8</v>
      </c>
      <c r="G703">
        <v>1</v>
      </c>
      <c r="H703">
        <v>51</v>
      </c>
    </row>
    <row r="704" spans="5:8" x14ac:dyDescent="0.25">
      <c r="E704">
        <v>57692.31</v>
      </c>
      <c r="F704">
        <v>8</v>
      </c>
      <c r="G704">
        <v>4</v>
      </c>
      <c r="H704">
        <v>12</v>
      </c>
    </row>
    <row r="705" spans="5:8" x14ac:dyDescent="0.25">
      <c r="E705">
        <v>58823.53</v>
      </c>
      <c r="F705">
        <v>8</v>
      </c>
      <c r="G705">
        <v>1</v>
      </c>
      <c r="H705">
        <v>50</v>
      </c>
    </row>
    <row r="706" spans="5:8" x14ac:dyDescent="0.25">
      <c r="E706">
        <v>60000</v>
      </c>
      <c r="F706">
        <v>8</v>
      </c>
      <c r="G706">
        <v>1</v>
      </c>
      <c r="H706">
        <v>49</v>
      </c>
    </row>
    <row r="707" spans="5:8" x14ac:dyDescent="0.25">
      <c r="E707">
        <v>61224.49</v>
      </c>
      <c r="F707">
        <v>8</v>
      </c>
      <c r="G707">
        <v>1</v>
      </c>
      <c r="H707">
        <v>48</v>
      </c>
    </row>
    <row r="708" spans="5:8" x14ac:dyDescent="0.25">
      <c r="E708">
        <v>62500</v>
      </c>
      <c r="F708">
        <v>8</v>
      </c>
      <c r="G708">
        <v>1</v>
      </c>
      <c r="H708">
        <v>47</v>
      </c>
    </row>
    <row r="709" spans="5:8" x14ac:dyDescent="0.25">
      <c r="E709">
        <v>62500</v>
      </c>
      <c r="F709">
        <v>8</v>
      </c>
      <c r="G709">
        <v>4</v>
      </c>
      <c r="H709">
        <v>11</v>
      </c>
    </row>
    <row r="710" spans="5:8" x14ac:dyDescent="0.25">
      <c r="E710">
        <v>62500</v>
      </c>
      <c r="F710">
        <v>8</v>
      </c>
      <c r="G710">
        <v>16</v>
      </c>
      <c r="H710">
        <v>2</v>
      </c>
    </row>
    <row r="711" spans="5:8" x14ac:dyDescent="0.25">
      <c r="E711">
        <v>63829.79</v>
      </c>
      <c r="F711">
        <v>8</v>
      </c>
      <c r="G711">
        <v>1</v>
      </c>
      <c r="H711">
        <v>46</v>
      </c>
    </row>
    <row r="712" spans="5:8" x14ac:dyDescent="0.25">
      <c r="E712">
        <v>65217.39</v>
      </c>
      <c r="F712">
        <v>8</v>
      </c>
      <c r="G712">
        <v>1</v>
      </c>
      <c r="H712">
        <v>45</v>
      </c>
    </row>
    <row r="713" spans="5:8" x14ac:dyDescent="0.25">
      <c r="E713">
        <v>66666.67</v>
      </c>
      <c r="F713">
        <v>7</v>
      </c>
      <c r="G713">
        <v>1</v>
      </c>
      <c r="H713">
        <v>44</v>
      </c>
    </row>
    <row r="714" spans="5:8" x14ac:dyDescent="0.25">
      <c r="E714">
        <v>68181.820000000007</v>
      </c>
      <c r="F714">
        <v>7</v>
      </c>
      <c r="G714">
        <v>1</v>
      </c>
      <c r="H714">
        <v>43</v>
      </c>
    </row>
    <row r="715" spans="5:8" x14ac:dyDescent="0.25">
      <c r="E715">
        <v>68181.820000000007</v>
      </c>
      <c r="F715">
        <v>7</v>
      </c>
      <c r="G715">
        <v>4</v>
      </c>
      <c r="H715">
        <v>10</v>
      </c>
    </row>
    <row r="716" spans="5:8" x14ac:dyDescent="0.25">
      <c r="E716">
        <v>69767.44</v>
      </c>
      <c r="F716">
        <v>7</v>
      </c>
      <c r="G716">
        <v>1</v>
      </c>
      <c r="H716">
        <v>42</v>
      </c>
    </row>
    <row r="717" spans="5:8" x14ac:dyDescent="0.25">
      <c r="E717">
        <v>71428.570000000007</v>
      </c>
      <c r="F717">
        <v>7</v>
      </c>
      <c r="G717">
        <v>1</v>
      </c>
      <c r="H717">
        <v>41</v>
      </c>
    </row>
    <row r="718" spans="5:8" x14ac:dyDescent="0.25">
      <c r="E718">
        <v>73170.73</v>
      </c>
      <c r="F718">
        <v>7</v>
      </c>
      <c r="G718">
        <v>1</v>
      </c>
      <c r="H718">
        <v>40</v>
      </c>
    </row>
    <row r="719" spans="5:8" x14ac:dyDescent="0.25">
      <c r="E719">
        <v>75000</v>
      </c>
      <c r="F719">
        <v>7</v>
      </c>
      <c r="G719">
        <v>1</v>
      </c>
      <c r="H719">
        <v>39</v>
      </c>
    </row>
    <row r="720" spans="5:8" x14ac:dyDescent="0.25">
      <c r="E720">
        <v>75000</v>
      </c>
      <c r="F720">
        <v>7</v>
      </c>
      <c r="G720">
        <v>4</v>
      </c>
      <c r="H720">
        <v>9</v>
      </c>
    </row>
    <row r="721" spans="5:8" x14ac:dyDescent="0.25">
      <c r="E721">
        <v>76923.08</v>
      </c>
      <c r="F721">
        <v>7</v>
      </c>
      <c r="G721">
        <v>1</v>
      </c>
      <c r="H721">
        <v>38</v>
      </c>
    </row>
    <row r="722" spans="5:8" x14ac:dyDescent="0.25">
      <c r="E722">
        <v>78947.37</v>
      </c>
      <c r="F722">
        <v>7</v>
      </c>
      <c r="G722">
        <v>1</v>
      </c>
      <c r="H722">
        <v>37</v>
      </c>
    </row>
    <row r="723" spans="5:8" x14ac:dyDescent="0.25">
      <c r="E723">
        <v>81081.08</v>
      </c>
      <c r="F723">
        <v>7</v>
      </c>
      <c r="G723">
        <v>1</v>
      </c>
      <c r="H723">
        <v>36</v>
      </c>
    </row>
    <row r="724" spans="5:8" x14ac:dyDescent="0.25">
      <c r="E724">
        <v>83333.33</v>
      </c>
      <c r="F724">
        <v>7</v>
      </c>
      <c r="G724">
        <v>1</v>
      </c>
      <c r="H724">
        <v>35</v>
      </c>
    </row>
    <row r="725" spans="5:8" x14ac:dyDescent="0.25">
      <c r="E725">
        <v>83333.33</v>
      </c>
      <c r="F725">
        <v>7</v>
      </c>
      <c r="G725">
        <v>4</v>
      </c>
      <c r="H725">
        <v>8</v>
      </c>
    </row>
    <row r="726" spans="5:8" x14ac:dyDescent="0.25">
      <c r="E726">
        <v>85714.29</v>
      </c>
      <c r="F726">
        <v>7</v>
      </c>
      <c r="G726">
        <v>1</v>
      </c>
      <c r="H726">
        <v>34</v>
      </c>
    </row>
    <row r="727" spans="5:8" x14ac:dyDescent="0.25">
      <c r="E727">
        <v>88235.29</v>
      </c>
      <c r="F727">
        <v>7</v>
      </c>
      <c r="G727">
        <v>1</v>
      </c>
      <c r="H727">
        <v>33</v>
      </c>
    </row>
    <row r="728" spans="5:8" x14ac:dyDescent="0.25">
      <c r="E728">
        <v>90909.09</v>
      </c>
      <c r="F728">
        <v>7</v>
      </c>
      <c r="G728">
        <v>1</v>
      </c>
      <c r="H728">
        <v>32</v>
      </c>
    </row>
    <row r="729" spans="5:8" x14ac:dyDescent="0.25">
      <c r="E729">
        <v>93750</v>
      </c>
      <c r="F729">
        <v>7</v>
      </c>
      <c r="G729">
        <v>1</v>
      </c>
      <c r="H729">
        <v>31</v>
      </c>
    </row>
    <row r="730" spans="5:8" x14ac:dyDescent="0.25">
      <c r="E730">
        <v>93750</v>
      </c>
      <c r="F730">
        <v>7</v>
      </c>
      <c r="G730">
        <v>4</v>
      </c>
      <c r="H730">
        <v>7</v>
      </c>
    </row>
    <row r="731" spans="5:8" x14ac:dyDescent="0.25">
      <c r="E731">
        <v>93750</v>
      </c>
      <c r="F731">
        <v>7</v>
      </c>
      <c r="G731">
        <v>16</v>
      </c>
      <c r="H731">
        <v>1</v>
      </c>
    </row>
    <row r="732" spans="5:8" x14ac:dyDescent="0.25">
      <c r="E732">
        <v>96774.19</v>
      </c>
      <c r="F732">
        <v>7</v>
      </c>
      <c r="G732">
        <v>1</v>
      </c>
      <c r="H732">
        <v>30</v>
      </c>
    </row>
    <row r="733" spans="5:8" x14ac:dyDescent="0.25">
      <c r="E733">
        <v>100000</v>
      </c>
      <c r="F733">
        <v>7</v>
      </c>
      <c r="G733">
        <v>1</v>
      </c>
      <c r="H733">
        <v>29</v>
      </c>
    </row>
    <row r="734" spans="5:8" x14ac:dyDescent="0.25">
      <c r="E734">
        <v>103448.28</v>
      </c>
      <c r="F734">
        <v>7</v>
      </c>
      <c r="G734">
        <v>1</v>
      </c>
      <c r="H734">
        <v>28</v>
      </c>
    </row>
    <row r="735" spans="5:8" x14ac:dyDescent="0.25">
      <c r="E735">
        <v>107142.86</v>
      </c>
      <c r="F735">
        <v>7</v>
      </c>
      <c r="G735">
        <v>1</v>
      </c>
      <c r="H735">
        <v>27</v>
      </c>
    </row>
    <row r="736" spans="5:8" x14ac:dyDescent="0.25">
      <c r="E736">
        <v>107142.86</v>
      </c>
      <c r="F736">
        <v>7</v>
      </c>
      <c r="G736">
        <v>4</v>
      </c>
      <c r="H736">
        <v>6</v>
      </c>
    </row>
    <row r="737" spans="5:8" x14ac:dyDescent="0.25">
      <c r="E737">
        <v>111111.11</v>
      </c>
      <c r="F737">
        <v>7</v>
      </c>
      <c r="G737">
        <v>1</v>
      </c>
      <c r="H737">
        <v>26</v>
      </c>
    </row>
    <row r="738" spans="5:8" x14ac:dyDescent="0.25">
      <c r="E738">
        <v>115384.62</v>
      </c>
      <c r="F738">
        <v>7</v>
      </c>
      <c r="G738">
        <v>1</v>
      </c>
      <c r="H738">
        <v>25</v>
      </c>
    </row>
    <row r="739" spans="5:8" x14ac:dyDescent="0.25">
      <c r="E739">
        <v>120000</v>
      </c>
      <c r="F739">
        <v>7</v>
      </c>
      <c r="G739">
        <v>1</v>
      </c>
      <c r="H739">
        <v>24</v>
      </c>
    </row>
    <row r="740" spans="5:8" x14ac:dyDescent="0.25">
      <c r="E740">
        <v>125000</v>
      </c>
      <c r="F740">
        <v>7</v>
      </c>
      <c r="G740">
        <v>1</v>
      </c>
      <c r="H740">
        <v>23</v>
      </c>
    </row>
    <row r="741" spans="5:8" x14ac:dyDescent="0.25">
      <c r="E741">
        <v>125000</v>
      </c>
      <c r="F741">
        <v>7</v>
      </c>
      <c r="G741">
        <v>4</v>
      </c>
      <c r="H741">
        <v>5</v>
      </c>
    </row>
    <row r="742" spans="5:8" x14ac:dyDescent="0.25">
      <c r="E742">
        <v>130434.78</v>
      </c>
      <c r="F742">
        <v>7</v>
      </c>
      <c r="G742">
        <v>1</v>
      </c>
      <c r="H742">
        <v>22</v>
      </c>
    </row>
    <row r="743" spans="5:8" x14ac:dyDescent="0.25">
      <c r="E743">
        <v>136363.64000000001</v>
      </c>
      <c r="F743">
        <v>6</v>
      </c>
      <c r="G743">
        <v>1</v>
      </c>
      <c r="H743">
        <v>21</v>
      </c>
    </row>
    <row r="744" spans="5:8" x14ac:dyDescent="0.25">
      <c r="E744">
        <v>142857.14000000001</v>
      </c>
      <c r="F744">
        <v>6</v>
      </c>
      <c r="G744">
        <v>1</v>
      </c>
      <c r="H744">
        <v>20</v>
      </c>
    </row>
    <row r="745" spans="5:8" x14ac:dyDescent="0.25">
      <c r="E745">
        <v>150000</v>
      </c>
      <c r="F745">
        <v>6</v>
      </c>
      <c r="G745">
        <v>1</v>
      </c>
      <c r="H745">
        <v>19</v>
      </c>
    </row>
    <row r="746" spans="5:8" x14ac:dyDescent="0.25">
      <c r="E746">
        <v>150000</v>
      </c>
      <c r="F746">
        <v>6</v>
      </c>
      <c r="G746">
        <v>4</v>
      </c>
      <c r="H746">
        <v>4</v>
      </c>
    </row>
    <row r="747" spans="5:8" x14ac:dyDescent="0.25">
      <c r="E747">
        <v>157894.74</v>
      </c>
      <c r="F747">
        <v>6</v>
      </c>
      <c r="G747">
        <v>1</v>
      </c>
      <c r="H747">
        <v>18</v>
      </c>
    </row>
    <row r="748" spans="5:8" x14ac:dyDescent="0.25">
      <c r="E748">
        <v>166666.67000000001</v>
      </c>
      <c r="F748">
        <v>6</v>
      </c>
      <c r="G748">
        <v>1</v>
      </c>
      <c r="H748">
        <v>17</v>
      </c>
    </row>
    <row r="749" spans="5:8" x14ac:dyDescent="0.25">
      <c r="E749">
        <v>176470.59</v>
      </c>
      <c r="F749">
        <v>6</v>
      </c>
      <c r="G749">
        <v>1</v>
      </c>
      <c r="H749">
        <v>16</v>
      </c>
    </row>
    <row r="750" spans="5:8" x14ac:dyDescent="0.25">
      <c r="E750">
        <v>187500</v>
      </c>
      <c r="F750">
        <v>6</v>
      </c>
      <c r="G750">
        <v>1</v>
      </c>
      <c r="H750">
        <v>15</v>
      </c>
    </row>
    <row r="751" spans="5:8" x14ac:dyDescent="0.25">
      <c r="E751">
        <v>187500</v>
      </c>
      <c r="F751">
        <v>6</v>
      </c>
      <c r="G751">
        <v>4</v>
      </c>
      <c r="H751">
        <v>3</v>
      </c>
    </row>
    <row r="752" spans="5:8" x14ac:dyDescent="0.25">
      <c r="E752">
        <v>187500</v>
      </c>
      <c r="F752">
        <v>6</v>
      </c>
      <c r="G752">
        <v>16</v>
      </c>
      <c r="H752">
        <v>0</v>
      </c>
    </row>
    <row r="753" spans="5:8" x14ac:dyDescent="0.25">
      <c r="E753">
        <v>200000</v>
      </c>
      <c r="F753">
        <v>6</v>
      </c>
      <c r="G753">
        <v>1</v>
      </c>
      <c r="H753">
        <v>14</v>
      </c>
    </row>
    <row r="754" spans="5:8" x14ac:dyDescent="0.25">
      <c r="E754">
        <v>214285.71</v>
      </c>
      <c r="F754">
        <v>6</v>
      </c>
      <c r="G754">
        <v>1</v>
      </c>
      <c r="H754">
        <v>13</v>
      </c>
    </row>
    <row r="755" spans="5:8" x14ac:dyDescent="0.25">
      <c r="E755">
        <v>230769.23</v>
      </c>
      <c r="F755">
        <v>6</v>
      </c>
      <c r="G755">
        <v>1</v>
      </c>
      <c r="H755">
        <v>12</v>
      </c>
    </row>
    <row r="756" spans="5:8" x14ac:dyDescent="0.25">
      <c r="E756">
        <v>250000</v>
      </c>
      <c r="F756">
        <v>6</v>
      </c>
      <c r="G756">
        <v>1</v>
      </c>
      <c r="H756">
        <v>11</v>
      </c>
    </row>
    <row r="757" spans="5:8" x14ac:dyDescent="0.25">
      <c r="E757">
        <v>250000</v>
      </c>
      <c r="F757">
        <v>6</v>
      </c>
      <c r="G757">
        <v>4</v>
      </c>
      <c r="H757">
        <v>2</v>
      </c>
    </row>
    <row r="758" spans="5:8" x14ac:dyDescent="0.25">
      <c r="E758">
        <v>272727.27</v>
      </c>
      <c r="F758">
        <v>5</v>
      </c>
      <c r="G758">
        <v>1</v>
      </c>
      <c r="H758">
        <v>10</v>
      </c>
    </row>
    <row r="759" spans="5:8" x14ac:dyDescent="0.25">
      <c r="E759">
        <v>300000</v>
      </c>
      <c r="F759">
        <v>5</v>
      </c>
      <c r="G759">
        <v>1</v>
      </c>
      <c r="H759">
        <v>9</v>
      </c>
    </row>
    <row r="760" spans="5:8" x14ac:dyDescent="0.25">
      <c r="E760">
        <v>333333.33</v>
      </c>
      <c r="F760">
        <v>5</v>
      </c>
      <c r="G760">
        <v>1</v>
      </c>
      <c r="H760">
        <v>8</v>
      </c>
    </row>
    <row r="761" spans="5:8" x14ac:dyDescent="0.25">
      <c r="E761">
        <v>375000</v>
      </c>
      <c r="F761">
        <v>5</v>
      </c>
      <c r="G761">
        <v>1</v>
      </c>
      <c r="H761">
        <v>7</v>
      </c>
    </row>
    <row r="762" spans="5:8" x14ac:dyDescent="0.25">
      <c r="E762">
        <v>375000</v>
      </c>
      <c r="F762">
        <v>5</v>
      </c>
      <c r="G762">
        <v>4</v>
      </c>
      <c r="H762">
        <v>1</v>
      </c>
    </row>
    <row r="763" spans="5:8" x14ac:dyDescent="0.25">
      <c r="E763">
        <v>428571.43</v>
      </c>
      <c r="F763">
        <v>5</v>
      </c>
      <c r="G763">
        <v>1</v>
      </c>
      <c r="H763">
        <v>6</v>
      </c>
    </row>
    <row r="764" spans="5:8" x14ac:dyDescent="0.25">
      <c r="E764">
        <v>500000</v>
      </c>
      <c r="F764">
        <v>5</v>
      </c>
      <c r="G764">
        <v>1</v>
      </c>
      <c r="H764">
        <v>5</v>
      </c>
    </row>
    <row r="765" spans="5:8" x14ac:dyDescent="0.25">
      <c r="E765">
        <v>600000</v>
      </c>
      <c r="F765">
        <v>4</v>
      </c>
      <c r="G765">
        <v>1</v>
      </c>
      <c r="H765">
        <v>4</v>
      </c>
    </row>
    <row r="766" spans="5:8" x14ac:dyDescent="0.25">
      <c r="E766">
        <v>750000</v>
      </c>
      <c r="F766">
        <v>4</v>
      </c>
      <c r="G766">
        <v>1</v>
      </c>
      <c r="H766">
        <v>3</v>
      </c>
    </row>
    <row r="767" spans="5:8" x14ac:dyDescent="0.25">
      <c r="E767">
        <v>750000</v>
      </c>
      <c r="F767">
        <v>4</v>
      </c>
      <c r="G767">
        <v>4</v>
      </c>
      <c r="H767">
        <v>0</v>
      </c>
    </row>
    <row r="768" spans="5:8" x14ac:dyDescent="0.25">
      <c r="E768">
        <v>1000000</v>
      </c>
      <c r="F768">
        <v>4</v>
      </c>
      <c r="G768">
        <v>1</v>
      </c>
      <c r="H768">
        <v>2</v>
      </c>
    </row>
    <row r="769" spans="5:8" x14ac:dyDescent="0.25">
      <c r="E769">
        <v>1500000</v>
      </c>
      <c r="F769">
        <v>3</v>
      </c>
      <c r="G769">
        <v>1</v>
      </c>
      <c r="H769">
        <v>1</v>
      </c>
    </row>
    <row r="770" spans="5:8" x14ac:dyDescent="0.25">
      <c r="E770">
        <v>3000000</v>
      </c>
      <c r="F770">
        <v>2</v>
      </c>
      <c r="G770">
        <v>1</v>
      </c>
      <c r="H770">
        <v>0</v>
      </c>
    </row>
    <row r="771" spans="5:8" x14ac:dyDescent="0.25">
      <c r="E771"/>
    </row>
    <row r="772" spans="5:8" x14ac:dyDescent="0.25">
      <c r="E772"/>
    </row>
    <row r="773" spans="5:8" x14ac:dyDescent="0.25">
      <c r="E773"/>
    </row>
    <row r="774" spans="5:8" x14ac:dyDescent="0.25">
      <c r="E774"/>
    </row>
    <row r="775" spans="5:8" x14ac:dyDescent="0.25">
      <c r="E775"/>
    </row>
    <row r="776" spans="5:8" x14ac:dyDescent="0.25">
      <c r="E776"/>
    </row>
    <row r="777" spans="5:8" x14ac:dyDescent="0.25">
      <c r="E777"/>
    </row>
    <row r="778" spans="5:8" x14ac:dyDescent="0.25">
      <c r="E778"/>
    </row>
    <row r="779" spans="5:8" x14ac:dyDescent="0.25">
      <c r="E779"/>
    </row>
    <row r="780" spans="5:8" x14ac:dyDescent="0.25">
      <c r="E780"/>
    </row>
    <row r="781" spans="5:8" x14ac:dyDescent="0.25">
      <c r="E781"/>
    </row>
    <row r="782" spans="5:8" x14ac:dyDescent="0.25">
      <c r="E782"/>
    </row>
    <row r="783" spans="5:8" x14ac:dyDescent="0.25">
      <c r="E783"/>
    </row>
    <row r="784" spans="5:8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</sheetData>
  <sortState ref="B3:H770">
    <sortCondition ref="E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0</xdr:col>
                <xdr:colOff>57150</xdr:colOff>
                <xdr:row>7</xdr:row>
                <xdr:rowOff>19050</xdr:rowOff>
              </from>
              <to>
                <xdr:col>2</xdr:col>
                <xdr:colOff>581025</xdr:colOff>
                <xdr:row>8</xdr:row>
                <xdr:rowOff>123825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47625</xdr:colOff>
                <xdr:row>4</xdr:row>
                <xdr:rowOff>152400</xdr:rowOff>
              </from>
              <to>
                <xdr:col>2</xdr:col>
                <xdr:colOff>552450</xdr:colOff>
                <xdr:row>6</xdr:row>
                <xdr:rowOff>66675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103"/>
  <sheetViews>
    <sheetView workbookViewId="0">
      <selection activeCell="E38" sqref="E38"/>
    </sheetView>
  </sheetViews>
  <sheetFormatPr defaultRowHeight="15" x14ac:dyDescent="0.25"/>
  <cols>
    <col min="3" max="3" width="12.7109375" customWidth="1"/>
    <col min="4" max="4" width="2.7109375" bestFit="1" customWidth="1"/>
    <col min="5" max="5" width="17.42578125" style="7" customWidth="1"/>
    <col min="6" max="6" width="19.85546875" style="9" customWidth="1"/>
    <col min="7" max="7" width="10.28515625" style="13" customWidth="1"/>
    <col min="9" max="9" width="17.140625" customWidth="1"/>
    <col min="11" max="11" width="14.140625" customWidth="1"/>
    <col min="13" max="13" width="27.7109375" bestFit="1" customWidth="1"/>
  </cols>
  <sheetData>
    <row r="1" spans="2:7" x14ac:dyDescent="0.25">
      <c r="B1" s="27">
        <v>2</v>
      </c>
      <c r="C1" s="5" t="s">
        <v>9</v>
      </c>
      <c r="D1" s="5">
        <v>2</v>
      </c>
      <c r="E1" s="6">
        <v>65.406000000000006</v>
      </c>
      <c r="F1" s="10">
        <f>1000000/E1</f>
        <v>15289.117206372503</v>
      </c>
      <c r="G1" s="11" t="s">
        <v>18</v>
      </c>
    </row>
    <row r="2" spans="2:7" x14ac:dyDescent="0.25">
      <c r="B2" s="27"/>
      <c r="C2" s="5" t="s">
        <v>10</v>
      </c>
      <c r="D2" s="5">
        <v>2</v>
      </c>
      <c r="E2" s="6">
        <v>69.296000000000006</v>
      </c>
      <c r="F2" s="10">
        <f>1000000/E2</f>
        <v>14430.847379358114</v>
      </c>
      <c r="G2" s="11"/>
    </row>
    <row r="3" spans="2:7" x14ac:dyDescent="0.25">
      <c r="B3" s="27"/>
      <c r="C3" s="5" t="s">
        <v>11</v>
      </c>
      <c r="D3" s="5">
        <v>2</v>
      </c>
      <c r="E3" s="6">
        <v>73.415999999999997</v>
      </c>
      <c r="F3" s="10">
        <f t="shared" ref="F3:F66" si="0">1000000/E3</f>
        <v>13621.009044350007</v>
      </c>
      <c r="G3" s="11"/>
    </row>
    <row r="4" spans="2:7" x14ac:dyDescent="0.25">
      <c r="B4" s="27"/>
      <c r="C4" s="5" t="s">
        <v>12</v>
      </c>
      <c r="D4" s="5">
        <v>2</v>
      </c>
      <c r="E4" s="6">
        <v>77.781999999999996</v>
      </c>
      <c r="F4" s="10">
        <f t="shared" si="0"/>
        <v>12856.444935846341</v>
      </c>
      <c r="G4" s="11"/>
    </row>
    <row r="5" spans="2:7" x14ac:dyDescent="0.25">
      <c r="B5" s="27"/>
      <c r="C5" s="5" t="s">
        <v>13</v>
      </c>
      <c r="D5" s="5">
        <v>2</v>
      </c>
      <c r="E5" s="6">
        <v>82.406999999999996</v>
      </c>
      <c r="F5" s="10">
        <f t="shared" si="0"/>
        <v>12134.891453395951</v>
      </c>
      <c r="G5" s="12"/>
    </row>
    <row r="6" spans="2:7" x14ac:dyDescent="0.25">
      <c r="B6" s="27"/>
      <c r="C6" s="5" t="s">
        <v>14</v>
      </c>
      <c r="D6" s="5">
        <v>2</v>
      </c>
      <c r="E6" s="6">
        <v>87.307000000000002</v>
      </c>
      <c r="F6" s="10">
        <f t="shared" si="0"/>
        <v>11453.835316755816</v>
      </c>
      <c r="G6" s="11"/>
    </row>
    <row r="7" spans="2:7" x14ac:dyDescent="0.25">
      <c r="B7" s="27"/>
      <c r="C7" s="5" t="s">
        <v>15</v>
      </c>
      <c r="D7" s="5">
        <v>2</v>
      </c>
      <c r="E7" s="6">
        <v>92.498999999999995</v>
      </c>
      <c r="F7" s="10">
        <f t="shared" si="0"/>
        <v>10810.927685704712</v>
      </c>
      <c r="G7" s="11"/>
    </row>
    <row r="8" spans="2:7" x14ac:dyDescent="0.25">
      <c r="B8" s="27"/>
      <c r="C8" s="5" t="s">
        <v>16</v>
      </c>
      <c r="D8" s="5">
        <v>2</v>
      </c>
      <c r="E8" s="6">
        <v>97.998999999999995</v>
      </c>
      <c r="F8" s="10">
        <f t="shared" si="0"/>
        <v>10204.18575699752</v>
      </c>
      <c r="G8" s="11"/>
    </row>
    <row r="9" spans="2:7" x14ac:dyDescent="0.25">
      <c r="B9" s="27"/>
      <c r="C9" s="5" t="s">
        <v>17</v>
      </c>
      <c r="D9" s="5">
        <v>2</v>
      </c>
      <c r="E9" s="6">
        <v>103.82599999999999</v>
      </c>
      <c r="F9" s="10">
        <f t="shared" si="0"/>
        <v>9631.4988538516373</v>
      </c>
    </row>
    <row r="10" spans="2:7" x14ac:dyDescent="0.25">
      <c r="B10" s="27"/>
      <c r="C10" s="5" t="s">
        <v>6</v>
      </c>
      <c r="D10" s="5">
        <v>2</v>
      </c>
      <c r="E10" s="8">
        <v>110</v>
      </c>
      <c r="F10" s="10">
        <f t="shared" si="0"/>
        <v>9090.9090909090901</v>
      </c>
      <c r="G10" s="11"/>
    </row>
    <row r="11" spans="2:7" x14ac:dyDescent="0.25">
      <c r="B11" s="27"/>
      <c r="C11" s="5" t="s">
        <v>7</v>
      </c>
      <c r="D11" s="5">
        <v>2</v>
      </c>
      <c r="E11" s="8">
        <v>116.541</v>
      </c>
      <c r="F11" s="10">
        <f t="shared" si="0"/>
        <v>8580.6711800997073</v>
      </c>
      <c r="G11" s="11"/>
    </row>
    <row r="12" spans="2:7" x14ac:dyDescent="0.25">
      <c r="B12" s="27"/>
      <c r="C12" s="5" t="s">
        <v>8</v>
      </c>
      <c r="D12" s="5">
        <v>2</v>
      </c>
      <c r="E12" s="8">
        <v>123.471</v>
      </c>
      <c r="F12" s="10">
        <f t="shared" si="0"/>
        <v>8099.0677972965314</v>
      </c>
      <c r="G12" s="11"/>
    </row>
    <row r="13" spans="2:7" x14ac:dyDescent="0.25">
      <c r="C13" s="5"/>
      <c r="D13" s="5"/>
      <c r="E13" s="8"/>
      <c r="F13" s="10"/>
      <c r="G13" s="11"/>
    </row>
    <row r="14" spans="2:7" x14ac:dyDescent="0.25">
      <c r="B14" s="27">
        <v>3</v>
      </c>
      <c r="C14" s="5" t="s">
        <v>9</v>
      </c>
      <c r="D14" s="5">
        <v>3</v>
      </c>
      <c r="E14" s="8">
        <v>130.81299999999999</v>
      </c>
      <c r="F14" s="10">
        <f t="shared" si="0"/>
        <v>7644.5001643567539</v>
      </c>
      <c r="G14" s="11"/>
    </row>
    <row r="15" spans="2:7" x14ac:dyDescent="0.25">
      <c r="B15" s="27"/>
      <c r="C15" s="5" t="s">
        <v>10</v>
      </c>
      <c r="D15" s="5">
        <v>3</v>
      </c>
      <c r="E15" s="8">
        <v>138.59100000000001</v>
      </c>
      <c r="F15" s="10">
        <f t="shared" si="0"/>
        <v>7215.4757523937333</v>
      </c>
      <c r="G15" s="11"/>
    </row>
    <row r="16" spans="2:7" x14ac:dyDescent="0.25">
      <c r="B16" s="27"/>
      <c r="C16" s="5" t="s">
        <v>11</v>
      </c>
      <c r="D16" s="5">
        <v>3</v>
      </c>
      <c r="E16" s="8">
        <v>146.83199999999999</v>
      </c>
      <c r="F16" s="10">
        <f t="shared" si="0"/>
        <v>6810.5045221750033</v>
      </c>
      <c r="G16" s="11"/>
    </row>
    <row r="17" spans="2:7" x14ac:dyDescent="0.25">
      <c r="B17" s="27"/>
      <c r="C17" s="5" t="s">
        <v>12</v>
      </c>
      <c r="D17" s="5">
        <v>3</v>
      </c>
      <c r="E17" s="8">
        <v>155.56299999999999</v>
      </c>
      <c r="F17" s="10">
        <f t="shared" si="0"/>
        <v>6428.2637902328961</v>
      </c>
      <c r="G17" s="11"/>
    </row>
    <row r="18" spans="2:7" x14ac:dyDescent="0.25">
      <c r="B18" s="27"/>
      <c r="C18" s="5" t="s">
        <v>13</v>
      </c>
      <c r="D18" s="5">
        <v>3</v>
      </c>
      <c r="E18" s="8">
        <v>164.81399999999999</v>
      </c>
      <c r="F18" s="10">
        <f t="shared" si="0"/>
        <v>6067.4457266979753</v>
      </c>
      <c r="G18" s="11"/>
    </row>
    <row r="19" spans="2:7" x14ac:dyDescent="0.25">
      <c r="B19" s="27"/>
      <c r="C19" s="5" t="s">
        <v>14</v>
      </c>
      <c r="D19" s="5">
        <v>3</v>
      </c>
      <c r="E19" s="8">
        <v>174.614</v>
      </c>
      <c r="F19" s="10">
        <f t="shared" si="0"/>
        <v>5726.9176583779081</v>
      </c>
      <c r="G19" s="11"/>
    </row>
    <row r="20" spans="2:7" x14ac:dyDescent="0.25">
      <c r="B20" s="27"/>
      <c r="C20" s="5" t="s">
        <v>15</v>
      </c>
      <c r="D20" s="5">
        <v>3</v>
      </c>
      <c r="E20" s="8">
        <v>184.99700000000001</v>
      </c>
      <c r="F20" s="10">
        <f t="shared" si="0"/>
        <v>5405.4930620496543</v>
      </c>
      <c r="G20" s="11"/>
    </row>
    <row r="21" spans="2:7" x14ac:dyDescent="0.25">
      <c r="B21" s="27"/>
      <c r="C21" s="5" t="s">
        <v>16</v>
      </c>
      <c r="D21" s="5">
        <v>3</v>
      </c>
      <c r="E21" s="8">
        <v>195.99799999999999</v>
      </c>
      <c r="F21" s="10">
        <f t="shared" si="0"/>
        <v>5102.09287849876</v>
      </c>
      <c r="G21" s="11"/>
    </row>
    <row r="22" spans="2:7" x14ac:dyDescent="0.25">
      <c r="B22" s="27"/>
      <c r="C22" s="5" t="s">
        <v>17</v>
      </c>
      <c r="D22" s="5">
        <v>3</v>
      </c>
      <c r="E22" s="8">
        <v>207.65199999999999</v>
      </c>
      <c r="F22" s="10">
        <f t="shared" si="0"/>
        <v>4815.7494269258186</v>
      </c>
      <c r="G22" s="11"/>
    </row>
    <row r="23" spans="2:7" x14ac:dyDescent="0.25">
      <c r="B23" s="27"/>
      <c r="C23" s="5" t="s">
        <v>6</v>
      </c>
      <c r="D23" s="5">
        <v>3</v>
      </c>
      <c r="E23" s="8">
        <v>220</v>
      </c>
      <c r="F23" s="10">
        <f t="shared" si="0"/>
        <v>4545.454545454545</v>
      </c>
      <c r="G23" s="11"/>
    </row>
    <row r="24" spans="2:7" x14ac:dyDescent="0.25">
      <c r="B24" s="27"/>
      <c r="C24" s="5" t="s">
        <v>7</v>
      </c>
      <c r="D24" s="5">
        <v>3</v>
      </c>
      <c r="E24" s="8">
        <v>233.08199999999999</v>
      </c>
      <c r="F24" s="10">
        <f t="shared" si="0"/>
        <v>4290.3355900498536</v>
      </c>
      <c r="G24" s="11"/>
    </row>
    <row r="25" spans="2:7" x14ac:dyDescent="0.25">
      <c r="B25" s="27"/>
      <c r="C25" s="5" t="s">
        <v>8</v>
      </c>
      <c r="D25" s="5">
        <v>3</v>
      </c>
      <c r="E25" s="8">
        <v>246.94200000000001</v>
      </c>
      <c r="F25" s="10">
        <f t="shared" si="0"/>
        <v>4049.5338986482657</v>
      </c>
      <c r="G25" s="11"/>
    </row>
    <row r="26" spans="2:7" x14ac:dyDescent="0.25">
      <c r="C26" s="5"/>
      <c r="D26" s="5"/>
      <c r="E26" s="8"/>
      <c r="F26" s="10"/>
      <c r="G26" s="11"/>
    </row>
    <row r="27" spans="2:7" x14ac:dyDescent="0.25">
      <c r="B27" s="28">
        <v>4</v>
      </c>
      <c r="C27" s="5" t="s">
        <v>9</v>
      </c>
      <c r="D27" s="5">
        <v>4</v>
      </c>
      <c r="E27" s="8">
        <v>261.62599999999998</v>
      </c>
      <c r="F27" s="10">
        <f t="shared" si="0"/>
        <v>3822.2500821783769</v>
      </c>
      <c r="G27" s="11"/>
    </row>
    <row r="28" spans="2:7" x14ac:dyDescent="0.25">
      <c r="B28" s="28"/>
      <c r="C28" s="5" t="s">
        <v>10</v>
      </c>
      <c r="D28" s="5">
        <v>4</v>
      </c>
      <c r="E28" s="8">
        <v>277.18299999999999</v>
      </c>
      <c r="F28" s="10">
        <f t="shared" si="0"/>
        <v>3607.7248604712413</v>
      </c>
      <c r="G28" s="11"/>
    </row>
    <row r="29" spans="2:7" x14ac:dyDescent="0.25">
      <c r="B29" s="28"/>
      <c r="C29" s="5" t="s">
        <v>11</v>
      </c>
      <c r="D29" s="5">
        <v>4</v>
      </c>
      <c r="E29" s="8">
        <v>293.66500000000002</v>
      </c>
      <c r="F29" s="10">
        <f t="shared" si="0"/>
        <v>3405.2406653840258</v>
      </c>
      <c r="G29" s="11"/>
    </row>
    <row r="30" spans="2:7" x14ac:dyDescent="0.25">
      <c r="B30" s="28"/>
      <c r="C30" s="5" t="s">
        <v>12</v>
      </c>
      <c r="D30" s="5">
        <v>4</v>
      </c>
      <c r="E30" s="8">
        <v>311.12700000000001</v>
      </c>
      <c r="F30" s="10">
        <f t="shared" si="0"/>
        <v>3214.1215645058128</v>
      </c>
      <c r="G30" s="11"/>
    </row>
    <row r="31" spans="2:7" x14ac:dyDescent="0.25">
      <c r="B31" s="28"/>
      <c r="C31" s="5" t="s">
        <v>13</v>
      </c>
      <c r="D31" s="5">
        <v>4</v>
      </c>
      <c r="E31" s="8">
        <v>329.62799999999999</v>
      </c>
      <c r="F31" s="10">
        <f t="shared" si="0"/>
        <v>3033.7228633489876</v>
      </c>
      <c r="G31" s="11"/>
    </row>
    <row r="32" spans="2:7" x14ac:dyDescent="0.25">
      <c r="B32" s="28"/>
      <c r="C32" s="5" t="s">
        <v>14</v>
      </c>
      <c r="D32" s="5">
        <v>4</v>
      </c>
      <c r="E32" s="8">
        <v>349.22800000000001</v>
      </c>
      <c r="F32" s="10">
        <f t="shared" si="0"/>
        <v>2863.458829188954</v>
      </c>
      <c r="G32" s="11"/>
    </row>
    <row r="33" spans="2:7" x14ac:dyDescent="0.25">
      <c r="B33" s="28"/>
      <c r="C33" s="5" t="s">
        <v>15</v>
      </c>
      <c r="D33" s="5">
        <v>4</v>
      </c>
      <c r="E33" s="8">
        <v>369.99400000000003</v>
      </c>
      <c r="F33" s="10">
        <f t="shared" si="0"/>
        <v>2702.7465310248272</v>
      </c>
      <c r="G33" s="11"/>
    </row>
    <row r="34" spans="2:7" x14ac:dyDescent="0.25">
      <c r="B34" s="28"/>
      <c r="C34" s="5" t="s">
        <v>16</v>
      </c>
      <c r="D34" s="5">
        <v>4</v>
      </c>
      <c r="E34" s="8">
        <v>391.995</v>
      </c>
      <c r="F34" s="10">
        <f t="shared" si="0"/>
        <v>2551.0529471039172</v>
      </c>
      <c r="G34" s="11"/>
    </row>
    <row r="35" spans="2:7" x14ac:dyDescent="0.25">
      <c r="B35" s="28"/>
      <c r="C35" s="5" t="s">
        <v>17</v>
      </c>
      <c r="D35" s="5">
        <v>4</v>
      </c>
      <c r="E35" s="8">
        <v>415.30500000000001</v>
      </c>
      <c r="F35" s="10">
        <f t="shared" si="0"/>
        <v>2407.8689156162336</v>
      </c>
      <c r="G35" s="11"/>
    </row>
    <row r="36" spans="2:7" x14ac:dyDescent="0.25">
      <c r="B36" s="28"/>
      <c r="C36" s="5" t="s">
        <v>6</v>
      </c>
      <c r="D36" s="5">
        <v>4</v>
      </c>
      <c r="E36" s="8">
        <v>440</v>
      </c>
      <c r="F36" s="10">
        <f t="shared" si="0"/>
        <v>2272.7272727272725</v>
      </c>
      <c r="G36" s="11"/>
    </row>
    <row r="37" spans="2:7" x14ac:dyDescent="0.25">
      <c r="B37" s="28"/>
      <c r="C37" s="5" t="s">
        <v>7</v>
      </c>
      <c r="D37" s="5">
        <v>4</v>
      </c>
      <c r="E37" s="8">
        <v>466.16399999999999</v>
      </c>
      <c r="F37" s="10">
        <f t="shared" si="0"/>
        <v>2145.1677950249268</v>
      </c>
      <c r="G37" s="11"/>
    </row>
    <row r="38" spans="2:7" x14ac:dyDescent="0.25">
      <c r="B38" s="28"/>
      <c r="C38" s="5" t="s">
        <v>8</v>
      </c>
      <c r="D38" s="5">
        <v>4</v>
      </c>
      <c r="E38" s="8">
        <v>493.88299999999998</v>
      </c>
      <c r="F38" s="10">
        <f t="shared" si="0"/>
        <v>2024.7710490136328</v>
      </c>
      <c r="G38" s="11"/>
    </row>
    <row r="39" spans="2:7" x14ac:dyDescent="0.25">
      <c r="C39" s="5"/>
      <c r="D39" s="5"/>
      <c r="E39" s="8"/>
      <c r="F39" s="10"/>
      <c r="G39" s="11"/>
    </row>
    <row r="40" spans="2:7" x14ac:dyDescent="0.25">
      <c r="B40" s="27">
        <v>5</v>
      </c>
      <c r="C40" s="5" t="s">
        <v>9</v>
      </c>
      <c r="D40" s="5">
        <v>5</v>
      </c>
      <c r="E40" s="8">
        <v>523.25099999999998</v>
      </c>
      <c r="F40" s="10">
        <f t="shared" si="0"/>
        <v>1911.1286934950913</v>
      </c>
      <c r="G40" s="11"/>
    </row>
    <row r="41" spans="2:7" x14ac:dyDescent="0.25">
      <c r="B41" s="27"/>
      <c r="C41" s="5" t="s">
        <v>10</v>
      </c>
      <c r="D41" s="5">
        <v>5</v>
      </c>
      <c r="E41" s="8">
        <v>554.36500000000001</v>
      </c>
      <c r="F41" s="10">
        <f t="shared" si="0"/>
        <v>1803.8656841611573</v>
      </c>
      <c r="G41" s="11"/>
    </row>
    <row r="42" spans="2:7" x14ac:dyDescent="0.25">
      <c r="B42" s="27"/>
      <c r="C42" s="5" t="s">
        <v>11</v>
      </c>
      <c r="D42" s="5">
        <v>5</v>
      </c>
      <c r="E42" s="8">
        <v>587.33000000000004</v>
      </c>
      <c r="F42" s="10">
        <f t="shared" si="0"/>
        <v>1702.6203326920129</v>
      </c>
      <c r="G42" s="11"/>
    </row>
    <row r="43" spans="2:7" x14ac:dyDescent="0.25">
      <c r="B43" s="27"/>
      <c r="C43" s="5" t="s">
        <v>12</v>
      </c>
      <c r="D43" s="5">
        <v>5</v>
      </c>
      <c r="E43" s="8">
        <v>622.25400000000002</v>
      </c>
      <c r="F43" s="10">
        <f t="shared" si="0"/>
        <v>1607.0607822529064</v>
      </c>
      <c r="G43" s="11"/>
    </row>
    <row r="44" spans="2:7" x14ac:dyDescent="0.25">
      <c r="B44" s="27"/>
      <c r="C44" s="5" t="s">
        <v>13</v>
      </c>
      <c r="D44" s="5">
        <v>5</v>
      </c>
      <c r="E44" s="8">
        <v>659.255</v>
      </c>
      <c r="F44" s="10">
        <f t="shared" si="0"/>
        <v>1516.8637325465868</v>
      </c>
      <c r="G44" s="11"/>
    </row>
    <row r="45" spans="2:7" x14ac:dyDescent="0.25">
      <c r="B45" s="27"/>
      <c r="C45" s="5" t="s">
        <v>14</v>
      </c>
      <c r="D45" s="5">
        <v>5</v>
      </c>
      <c r="E45" s="8">
        <v>698.45600000000002</v>
      </c>
      <c r="F45" s="10">
        <f t="shared" si="0"/>
        <v>1431.729414594477</v>
      </c>
      <c r="G45" s="11"/>
    </row>
    <row r="46" spans="2:7" x14ac:dyDescent="0.25">
      <c r="B46" s="27"/>
      <c r="C46" s="5" t="s">
        <v>15</v>
      </c>
      <c r="D46" s="5">
        <v>5</v>
      </c>
      <c r="E46" s="8">
        <v>739.98900000000003</v>
      </c>
      <c r="F46" s="10">
        <f t="shared" si="0"/>
        <v>1351.3714393051789</v>
      </c>
      <c r="G46" s="11"/>
    </row>
    <row r="47" spans="2:7" x14ac:dyDescent="0.25">
      <c r="B47" s="27"/>
      <c r="C47" s="5" t="s">
        <v>16</v>
      </c>
      <c r="D47" s="5">
        <v>5</v>
      </c>
      <c r="E47" s="8">
        <v>783.99099999999999</v>
      </c>
      <c r="F47" s="10">
        <f t="shared" si="0"/>
        <v>1275.5248465862492</v>
      </c>
      <c r="G47" s="11"/>
    </row>
    <row r="48" spans="2:7" x14ac:dyDescent="0.25">
      <c r="B48" s="27"/>
      <c r="C48" s="5" t="s">
        <v>17</v>
      </c>
      <c r="D48" s="5">
        <v>5</v>
      </c>
      <c r="E48" s="8">
        <v>830.60900000000004</v>
      </c>
      <c r="F48" s="10">
        <f t="shared" si="0"/>
        <v>1203.9359072680406</v>
      </c>
      <c r="G48" s="11"/>
    </row>
    <row r="49" spans="2:7" x14ac:dyDescent="0.25">
      <c r="B49" s="27"/>
      <c r="C49" s="5" t="s">
        <v>6</v>
      </c>
      <c r="D49" s="5">
        <v>5</v>
      </c>
      <c r="E49" s="8">
        <v>880</v>
      </c>
      <c r="F49" s="10">
        <f t="shared" si="0"/>
        <v>1136.3636363636363</v>
      </c>
      <c r="G49" s="11"/>
    </row>
    <row r="50" spans="2:7" x14ac:dyDescent="0.25">
      <c r="B50" s="27"/>
      <c r="C50" s="5" t="s">
        <v>7</v>
      </c>
      <c r="D50" s="5">
        <v>5</v>
      </c>
      <c r="E50" s="8">
        <v>932.32799999999997</v>
      </c>
      <c r="F50" s="10">
        <f t="shared" si="0"/>
        <v>1072.5838975124634</v>
      </c>
      <c r="G50" s="11"/>
    </row>
    <row r="51" spans="2:7" x14ac:dyDescent="0.25">
      <c r="B51" s="27"/>
      <c r="C51" s="5" t="s">
        <v>8</v>
      </c>
      <c r="D51" s="5">
        <v>5</v>
      </c>
      <c r="E51" s="8">
        <v>987.76700000000005</v>
      </c>
      <c r="F51" s="10">
        <f t="shared" si="0"/>
        <v>1012.3844995834037</v>
      </c>
      <c r="G51" s="11"/>
    </row>
    <row r="52" spans="2:7" x14ac:dyDescent="0.25">
      <c r="C52" s="5"/>
      <c r="D52" s="5"/>
      <c r="E52" s="8"/>
      <c r="F52" s="10"/>
      <c r="G52" s="11"/>
    </row>
    <row r="53" spans="2:7" x14ac:dyDescent="0.25">
      <c r="C53" s="5" t="s">
        <v>9</v>
      </c>
      <c r="D53" s="5">
        <v>6</v>
      </c>
      <c r="E53" s="8">
        <v>1046.502</v>
      </c>
      <c r="F53" s="10">
        <f t="shared" si="0"/>
        <v>955.56434674754564</v>
      </c>
      <c r="G53" s="11"/>
    </row>
    <row r="54" spans="2:7" x14ac:dyDescent="0.25">
      <c r="C54" s="5" t="s">
        <v>10</v>
      </c>
      <c r="D54" s="5">
        <v>6</v>
      </c>
      <c r="E54" s="8">
        <v>1108.731</v>
      </c>
      <c r="F54" s="10">
        <f t="shared" si="0"/>
        <v>901.93202859846076</v>
      </c>
      <c r="G54" s="11"/>
    </row>
    <row r="55" spans="2:7" x14ac:dyDescent="0.25">
      <c r="C55" s="5" t="s">
        <v>11</v>
      </c>
      <c r="D55" s="5">
        <v>6</v>
      </c>
      <c r="E55" s="8">
        <v>1174.6590000000001</v>
      </c>
      <c r="F55" s="10">
        <f t="shared" si="0"/>
        <v>851.31089107562275</v>
      </c>
      <c r="G55" s="11"/>
    </row>
    <row r="56" spans="2:7" x14ac:dyDescent="0.25">
      <c r="C56" s="5" t="s">
        <v>12</v>
      </c>
      <c r="D56" s="5">
        <v>6</v>
      </c>
      <c r="E56" s="8">
        <v>1244.508</v>
      </c>
      <c r="F56" s="10">
        <f t="shared" si="0"/>
        <v>803.5303911264532</v>
      </c>
      <c r="G56" s="11"/>
    </row>
    <row r="57" spans="2:7" x14ac:dyDescent="0.25">
      <c r="C57" s="5" t="s">
        <v>13</v>
      </c>
      <c r="D57" s="5">
        <v>6</v>
      </c>
      <c r="E57" s="8">
        <v>1318.51</v>
      </c>
      <c r="F57" s="10">
        <f t="shared" si="0"/>
        <v>758.43186627329339</v>
      </c>
      <c r="G57" s="11"/>
    </row>
    <row r="58" spans="2:7" x14ac:dyDescent="0.25">
      <c r="C58" s="5" t="s">
        <v>14</v>
      </c>
      <c r="D58" s="5">
        <v>6</v>
      </c>
      <c r="E58" s="8">
        <v>1396.913</v>
      </c>
      <c r="F58" s="10">
        <f t="shared" si="0"/>
        <v>715.8641948353262</v>
      </c>
      <c r="G58" s="11"/>
    </row>
    <row r="59" spans="2:7" x14ac:dyDescent="0.25">
      <c r="C59" s="5" t="s">
        <v>15</v>
      </c>
      <c r="D59" s="5">
        <v>6</v>
      </c>
      <c r="E59" s="8">
        <v>1479.9780000000001</v>
      </c>
      <c r="F59" s="10">
        <f t="shared" si="0"/>
        <v>675.68571965258946</v>
      </c>
      <c r="G59" s="11"/>
    </row>
    <row r="60" spans="2:7" x14ac:dyDescent="0.25">
      <c r="C60" s="5" t="s">
        <v>16</v>
      </c>
      <c r="D60" s="5">
        <v>6</v>
      </c>
      <c r="E60" s="8">
        <v>1567.982</v>
      </c>
      <c r="F60" s="10">
        <f t="shared" si="0"/>
        <v>637.76242329312458</v>
      </c>
      <c r="G60" s="11"/>
    </row>
    <row r="61" spans="2:7" x14ac:dyDescent="0.25">
      <c r="C61" s="5" t="s">
        <v>17</v>
      </c>
      <c r="D61" s="5">
        <v>6</v>
      </c>
      <c r="E61" s="8">
        <v>1661.2190000000001</v>
      </c>
      <c r="F61" s="10">
        <f t="shared" si="0"/>
        <v>601.96759126882125</v>
      </c>
      <c r="G61" s="11"/>
    </row>
    <row r="62" spans="2:7" x14ac:dyDescent="0.25">
      <c r="C62" s="5" t="s">
        <v>6</v>
      </c>
      <c r="D62" s="5">
        <v>6</v>
      </c>
      <c r="E62" s="8">
        <v>1760</v>
      </c>
      <c r="F62" s="10">
        <f t="shared" si="0"/>
        <v>568.18181818181813</v>
      </c>
      <c r="G62" s="11"/>
    </row>
    <row r="63" spans="2:7" x14ac:dyDescent="0.25">
      <c r="C63" s="5" t="s">
        <v>7</v>
      </c>
      <c r="D63" s="5">
        <v>6</v>
      </c>
      <c r="E63" s="8">
        <v>1864.655</v>
      </c>
      <c r="F63" s="10">
        <f t="shared" si="0"/>
        <v>536.29223636544032</v>
      </c>
      <c r="G63" s="11"/>
    </row>
    <row r="64" spans="2:7" x14ac:dyDescent="0.25">
      <c r="C64" s="5" t="s">
        <v>8</v>
      </c>
      <c r="D64" s="5">
        <v>6</v>
      </c>
      <c r="E64" s="8">
        <v>1975.5329999999999</v>
      </c>
      <c r="F64" s="10">
        <f t="shared" si="0"/>
        <v>506.19250602242539</v>
      </c>
      <c r="G64" s="11"/>
    </row>
    <row r="65" spans="3:7" x14ac:dyDescent="0.25">
      <c r="C65" s="5"/>
      <c r="D65" s="5"/>
      <c r="E65" s="8"/>
      <c r="F65" s="10"/>
      <c r="G65" s="11"/>
    </row>
    <row r="66" spans="3:7" x14ac:dyDescent="0.25">
      <c r="C66" s="5" t="s">
        <v>9</v>
      </c>
      <c r="D66" s="5">
        <v>7</v>
      </c>
      <c r="E66" s="8">
        <v>2093.0050000000001</v>
      </c>
      <c r="F66" s="10">
        <f t="shared" si="0"/>
        <v>477.78194509807668</v>
      </c>
      <c r="G66" s="11"/>
    </row>
    <row r="67" spans="3:7" x14ac:dyDescent="0.25">
      <c r="C67" s="5" t="s">
        <v>10</v>
      </c>
      <c r="D67" s="5">
        <v>7</v>
      </c>
      <c r="E67" s="8">
        <v>2217.4609999999998</v>
      </c>
      <c r="F67" s="10">
        <f t="shared" ref="F67:F103" si="1">1000000/E67</f>
        <v>450.9662176696682</v>
      </c>
      <c r="G67" s="11"/>
    </row>
    <row r="68" spans="3:7" x14ac:dyDescent="0.25">
      <c r="C68" s="5" t="s">
        <v>11</v>
      </c>
      <c r="D68" s="5">
        <v>7</v>
      </c>
      <c r="E68" s="8">
        <v>2349.3180000000002</v>
      </c>
      <c r="F68" s="10">
        <f t="shared" si="1"/>
        <v>425.65544553781137</v>
      </c>
      <c r="G68" s="11"/>
    </row>
    <row r="69" spans="3:7" x14ac:dyDescent="0.25">
      <c r="C69" s="5" t="s">
        <v>12</v>
      </c>
      <c r="D69" s="5">
        <v>7</v>
      </c>
      <c r="E69" s="8">
        <v>2489.0160000000001</v>
      </c>
      <c r="F69" s="10">
        <f t="shared" si="1"/>
        <v>401.7651955632266</v>
      </c>
      <c r="G69" s="11"/>
    </row>
    <row r="70" spans="3:7" x14ac:dyDescent="0.25">
      <c r="C70" s="5" t="s">
        <v>13</v>
      </c>
      <c r="D70" s="5">
        <v>7</v>
      </c>
      <c r="E70" s="8">
        <v>2637.0210000000002</v>
      </c>
      <c r="F70" s="10">
        <f t="shared" si="1"/>
        <v>379.21578933197725</v>
      </c>
      <c r="G70" s="11"/>
    </row>
    <row r="71" spans="3:7" x14ac:dyDescent="0.25">
      <c r="C71" s="5" t="s">
        <v>14</v>
      </c>
      <c r="D71" s="5">
        <v>7</v>
      </c>
      <c r="E71" s="8">
        <v>2793.826</v>
      </c>
      <c r="F71" s="10">
        <f t="shared" si="1"/>
        <v>357.9320974176631</v>
      </c>
      <c r="G71" s="11"/>
    </row>
    <row r="72" spans="3:7" x14ac:dyDescent="0.25">
      <c r="C72" s="5" t="s">
        <v>15</v>
      </c>
      <c r="D72" s="5">
        <v>7</v>
      </c>
      <c r="E72" s="8">
        <v>2959.9549999999999</v>
      </c>
      <c r="F72" s="10">
        <f t="shared" si="1"/>
        <v>337.8429739641312</v>
      </c>
      <c r="G72" s="11"/>
    </row>
    <row r="73" spans="3:7" x14ac:dyDescent="0.25">
      <c r="C73" s="5" t="s">
        <v>16</v>
      </c>
      <c r="D73" s="5">
        <v>7</v>
      </c>
      <c r="E73" s="8">
        <v>3135.9639999999999</v>
      </c>
      <c r="F73" s="10">
        <f t="shared" si="1"/>
        <v>318.88121164656229</v>
      </c>
      <c r="G73" s="11"/>
    </row>
    <row r="74" spans="3:7" x14ac:dyDescent="0.25">
      <c r="C74" s="5" t="s">
        <v>17</v>
      </c>
      <c r="D74" s="5">
        <v>7</v>
      </c>
      <c r="E74" s="8">
        <v>3322.4380000000001</v>
      </c>
      <c r="F74" s="10">
        <f t="shared" si="1"/>
        <v>300.98379563441063</v>
      </c>
      <c r="G74" s="11"/>
    </row>
    <row r="75" spans="3:7" x14ac:dyDescent="0.25">
      <c r="C75" s="5" t="s">
        <v>6</v>
      </c>
      <c r="D75" s="5">
        <v>7</v>
      </c>
      <c r="E75" s="8">
        <v>3520</v>
      </c>
      <c r="F75" s="10">
        <f t="shared" si="1"/>
        <v>284.09090909090907</v>
      </c>
      <c r="G75" s="11"/>
    </row>
    <row r="76" spans="3:7" x14ac:dyDescent="0.25">
      <c r="C76" s="5" t="s">
        <v>7</v>
      </c>
      <c r="D76" s="5">
        <v>7</v>
      </c>
      <c r="E76" s="8">
        <v>3729.31</v>
      </c>
      <c r="F76" s="10">
        <f t="shared" si="1"/>
        <v>268.14611818272016</v>
      </c>
      <c r="G76" s="11"/>
    </row>
    <row r="77" spans="3:7" x14ac:dyDescent="0.25">
      <c r="C77" s="5" t="s">
        <v>8</v>
      </c>
      <c r="D77" s="5">
        <v>7</v>
      </c>
      <c r="E77" s="8">
        <v>3951.0659999999998</v>
      </c>
      <c r="F77" s="10">
        <f t="shared" si="1"/>
        <v>253.0962530112127</v>
      </c>
      <c r="G77" s="11"/>
    </row>
    <row r="78" spans="3:7" x14ac:dyDescent="0.25">
      <c r="C78" s="5"/>
      <c r="D78" s="5"/>
      <c r="E78" s="8"/>
      <c r="F78" s="10"/>
      <c r="G78" s="11"/>
    </row>
    <row r="79" spans="3:7" x14ac:dyDescent="0.25">
      <c r="C79" s="5" t="s">
        <v>9</v>
      </c>
      <c r="D79" s="5">
        <v>8</v>
      </c>
      <c r="E79" s="8">
        <v>4186.009</v>
      </c>
      <c r="F79" s="10">
        <f t="shared" si="1"/>
        <v>238.89102961794873</v>
      </c>
      <c r="G79" s="11"/>
    </row>
    <row r="80" spans="3:7" x14ac:dyDescent="0.25">
      <c r="C80" s="5" t="s">
        <v>10</v>
      </c>
      <c r="D80" s="5">
        <v>8</v>
      </c>
      <c r="E80" s="8">
        <v>4434.9219999999996</v>
      </c>
      <c r="F80" s="10">
        <f t="shared" si="1"/>
        <v>225.4831088348341</v>
      </c>
      <c r="G80" s="11"/>
    </row>
    <row r="81" spans="3:7" x14ac:dyDescent="0.25">
      <c r="C81" s="5" t="s">
        <v>11</v>
      </c>
      <c r="D81" s="5">
        <v>8</v>
      </c>
      <c r="E81" s="8">
        <v>4698.6360000000004</v>
      </c>
      <c r="F81" s="10">
        <f t="shared" si="1"/>
        <v>212.82772276890569</v>
      </c>
      <c r="G81" s="11"/>
    </row>
    <row r="82" spans="3:7" x14ac:dyDescent="0.25">
      <c r="C82" s="5" t="s">
        <v>12</v>
      </c>
      <c r="D82" s="5">
        <v>8</v>
      </c>
      <c r="E82" s="8">
        <v>4978.0320000000002</v>
      </c>
      <c r="F82" s="10">
        <f t="shared" si="1"/>
        <v>200.8825977816133</v>
      </c>
      <c r="G82" s="11"/>
    </row>
    <row r="83" spans="3:7" x14ac:dyDescent="0.25">
      <c r="C83" s="5" t="s">
        <v>13</v>
      </c>
      <c r="D83" s="5">
        <v>8</v>
      </c>
      <c r="E83" s="8">
        <v>5274.0420000000004</v>
      </c>
      <c r="F83" s="10">
        <f t="shared" si="1"/>
        <v>189.60789466598862</v>
      </c>
      <c r="G83" s="11"/>
    </row>
    <row r="84" spans="3:7" x14ac:dyDescent="0.25">
      <c r="C84" s="5" t="s">
        <v>14</v>
      </c>
      <c r="D84" s="5">
        <v>8</v>
      </c>
      <c r="E84" s="8">
        <v>5587.652</v>
      </c>
      <c r="F84" s="10">
        <f t="shared" si="1"/>
        <v>178.96604870883155</v>
      </c>
      <c r="G84" s="11"/>
    </row>
    <row r="85" spans="3:7" x14ac:dyDescent="0.25">
      <c r="C85" s="5" t="s">
        <v>15</v>
      </c>
      <c r="D85" s="5">
        <v>8</v>
      </c>
      <c r="E85" s="8">
        <v>5919.91</v>
      </c>
      <c r="F85" s="10">
        <f t="shared" si="1"/>
        <v>168.9214869820656</v>
      </c>
      <c r="G85" s="11"/>
    </row>
    <row r="86" spans="3:7" x14ac:dyDescent="0.25">
      <c r="C86" s="5" t="s">
        <v>16</v>
      </c>
      <c r="D86" s="5">
        <v>8</v>
      </c>
      <c r="E86" s="8">
        <v>6271.9279999999999</v>
      </c>
      <c r="F86" s="10">
        <f t="shared" si="1"/>
        <v>159.44060582328115</v>
      </c>
      <c r="G86" s="11"/>
    </row>
    <row r="87" spans="3:7" x14ac:dyDescent="0.25">
      <c r="C87" s="5" t="s">
        <v>17</v>
      </c>
      <c r="D87" s="5">
        <v>8</v>
      </c>
      <c r="E87" s="8">
        <v>6644.8760000000002</v>
      </c>
      <c r="F87" s="10">
        <f t="shared" si="1"/>
        <v>150.49189781720531</v>
      </c>
      <c r="G87" s="11"/>
    </row>
    <row r="88" spans="3:7" x14ac:dyDescent="0.25">
      <c r="C88" s="5" t="s">
        <v>6</v>
      </c>
      <c r="D88" s="5">
        <v>8</v>
      </c>
      <c r="E88" s="8">
        <v>7040</v>
      </c>
      <c r="F88" s="10">
        <f t="shared" si="1"/>
        <v>142.04545454545453</v>
      </c>
      <c r="G88" s="11"/>
    </row>
    <row r="89" spans="3:7" x14ac:dyDescent="0.25">
      <c r="C89" s="5" t="s">
        <v>7</v>
      </c>
      <c r="D89" s="5">
        <v>8</v>
      </c>
      <c r="E89" s="8">
        <v>7458.62</v>
      </c>
      <c r="F89" s="10">
        <f t="shared" si="1"/>
        <v>134.07305909136008</v>
      </c>
      <c r="G89" s="11"/>
    </row>
    <row r="90" spans="3:7" x14ac:dyDescent="0.25">
      <c r="C90" s="5" t="s">
        <v>8</v>
      </c>
      <c r="D90" s="5">
        <v>8</v>
      </c>
      <c r="E90" s="8">
        <v>7902.1319999999996</v>
      </c>
      <c r="F90" s="10">
        <f t="shared" si="1"/>
        <v>126.54812650560635</v>
      </c>
      <c r="G90" s="11"/>
    </row>
    <row r="91" spans="3:7" x14ac:dyDescent="0.25">
      <c r="C91" s="5"/>
      <c r="D91" s="5"/>
      <c r="E91" s="8"/>
      <c r="F91" s="10"/>
      <c r="G91" s="11"/>
    </row>
    <row r="92" spans="3:7" x14ac:dyDescent="0.25">
      <c r="C92" s="5" t="s">
        <v>9</v>
      </c>
      <c r="D92" s="5">
        <v>9</v>
      </c>
      <c r="E92" s="8">
        <v>8372.018</v>
      </c>
      <c r="F92" s="10">
        <f t="shared" si="1"/>
        <v>119.44551480897437</v>
      </c>
      <c r="G92" s="11"/>
    </row>
    <row r="93" spans="3:7" x14ac:dyDescent="0.25">
      <c r="C93" s="5" t="s">
        <v>10</v>
      </c>
      <c r="D93" s="5">
        <v>9</v>
      </c>
      <c r="E93" s="8">
        <v>8869.8439999999991</v>
      </c>
      <c r="F93" s="10">
        <f t="shared" si="1"/>
        <v>112.74155441741705</v>
      </c>
      <c r="G93" s="11"/>
    </row>
    <row r="94" spans="3:7" x14ac:dyDescent="0.25">
      <c r="C94" s="5" t="s">
        <v>11</v>
      </c>
      <c r="D94" s="5">
        <v>9</v>
      </c>
      <c r="E94" s="8">
        <v>9397.2720000000008</v>
      </c>
      <c r="F94" s="10">
        <f t="shared" si="1"/>
        <v>106.41386138445284</v>
      </c>
      <c r="G94" s="11"/>
    </row>
    <row r="95" spans="3:7" x14ac:dyDescent="0.25">
      <c r="C95" s="5" t="s">
        <v>12</v>
      </c>
      <c r="D95" s="5">
        <v>9</v>
      </c>
      <c r="E95" s="8">
        <v>9956.0640000000003</v>
      </c>
      <c r="F95" s="10">
        <f t="shared" si="1"/>
        <v>100.44129889080665</v>
      </c>
      <c r="G95" s="11"/>
    </row>
    <row r="96" spans="3:7" x14ac:dyDescent="0.25">
      <c r="C96" s="5" t="s">
        <v>13</v>
      </c>
      <c r="D96" s="5">
        <v>9</v>
      </c>
      <c r="E96" s="8">
        <v>10548.084000000001</v>
      </c>
      <c r="F96" s="10">
        <f t="shared" si="1"/>
        <v>94.803947332994312</v>
      </c>
      <c r="G96" s="11"/>
    </row>
    <row r="97" spans="3:7" x14ac:dyDescent="0.25">
      <c r="C97" s="5" t="s">
        <v>14</v>
      </c>
      <c r="D97" s="5">
        <v>9</v>
      </c>
      <c r="E97" s="8">
        <v>11175.304</v>
      </c>
      <c r="F97" s="10">
        <f t="shared" si="1"/>
        <v>89.483024354415775</v>
      </c>
      <c r="G97" s="11"/>
    </row>
    <row r="98" spans="3:7" x14ac:dyDescent="0.25">
      <c r="C98" s="5" t="s">
        <v>15</v>
      </c>
      <c r="D98" s="5">
        <v>9</v>
      </c>
      <c r="E98" s="8">
        <v>11839.82</v>
      </c>
      <c r="F98" s="10">
        <f t="shared" si="1"/>
        <v>84.460743491032801</v>
      </c>
      <c r="G98" s="11"/>
    </row>
    <row r="99" spans="3:7" x14ac:dyDescent="0.25">
      <c r="C99" s="5" t="s">
        <v>16</v>
      </c>
      <c r="D99" s="5">
        <v>9</v>
      </c>
      <c r="E99" s="8">
        <v>12543.856</v>
      </c>
      <c r="F99" s="10">
        <f t="shared" si="1"/>
        <v>79.720302911640573</v>
      </c>
      <c r="G99" s="11"/>
    </row>
    <row r="100" spans="3:7" x14ac:dyDescent="0.25">
      <c r="C100" s="5" t="s">
        <v>17</v>
      </c>
      <c r="D100" s="5">
        <v>9</v>
      </c>
      <c r="E100" s="8">
        <v>13289.752</v>
      </c>
      <c r="F100" s="10">
        <f t="shared" si="1"/>
        <v>75.245948908602657</v>
      </c>
      <c r="G100" s="11"/>
    </row>
    <row r="101" spans="3:7" x14ac:dyDescent="0.25">
      <c r="C101" s="5" t="s">
        <v>6</v>
      </c>
      <c r="D101" s="5">
        <v>9</v>
      </c>
      <c r="E101" s="8">
        <v>14080</v>
      </c>
      <c r="F101" s="10">
        <f t="shared" si="1"/>
        <v>71.022727272727266</v>
      </c>
      <c r="G101" s="11"/>
    </row>
    <row r="102" spans="3:7" x14ac:dyDescent="0.25">
      <c r="C102" s="5" t="s">
        <v>7</v>
      </c>
      <c r="D102" s="5">
        <v>9</v>
      </c>
      <c r="E102" s="8">
        <v>14917.24</v>
      </c>
      <c r="F102" s="10">
        <f t="shared" si="1"/>
        <v>67.03652954568004</v>
      </c>
      <c r="G102" s="11"/>
    </row>
    <row r="103" spans="3:7" x14ac:dyDescent="0.25">
      <c r="C103" s="5" t="s">
        <v>8</v>
      </c>
      <c r="D103" s="5">
        <v>9</v>
      </c>
      <c r="E103" s="8">
        <v>15804.263999999999</v>
      </c>
      <c r="F103" s="10">
        <f t="shared" si="1"/>
        <v>63.274063252803174</v>
      </c>
    </row>
  </sheetData>
  <mergeCells count="4">
    <mergeCell ref="B1:B12"/>
    <mergeCell ref="B14:B25"/>
    <mergeCell ref="B27:B38"/>
    <mergeCell ref="B40:B5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17"/>
  <sheetViews>
    <sheetView tabSelected="1" workbookViewId="0">
      <selection activeCell="O14" sqref="O14"/>
    </sheetView>
  </sheetViews>
  <sheetFormatPr defaultRowHeight="15" x14ac:dyDescent="0.25"/>
  <cols>
    <col min="10" max="10" width="23.28515625" bestFit="1" customWidth="1"/>
    <col min="11" max="11" width="8" customWidth="1"/>
    <col min="14" max="14" width="12.42578125" bestFit="1" customWidth="1"/>
  </cols>
  <sheetData>
    <row r="2" spans="3:16" x14ac:dyDescent="0.25">
      <c r="C2" s="29" t="s">
        <v>19</v>
      </c>
      <c r="D2" s="29"/>
      <c r="E2" s="29"/>
      <c r="F2" s="29"/>
      <c r="G2" s="29"/>
      <c r="H2" s="29"/>
    </row>
    <row r="3" spans="3:16" ht="15.75" thickBot="1" x14ac:dyDescent="0.3">
      <c r="J3" s="29" t="s">
        <v>32</v>
      </c>
      <c r="K3" s="29"/>
    </row>
    <row r="4" spans="3:16" x14ac:dyDescent="0.25">
      <c r="D4" s="18"/>
      <c r="E4" s="30" t="s">
        <v>26</v>
      </c>
      <c r="F4" s="30"/>
      <c r="G4" s="30"/>
      <c r="H4" s="31"/>
      <c r="J4" t="s">
        <v>0</v>
      </c>
      <c r="K4" s="26">
        <v>12</v>
      </c>
      <c r="L4" t="s">
        <v>5</v>
      </c>
    </row>
    <row r="5" spans="3:16" x14ac:dyDescent="0.25">
      <c r="D5" s="19" t="s">
        <v>20</v>
      </c>
      <c r="E5" s="17">
        <v>4</v>
      </c>
      <c r="F5" s="17">
        <v>5</v>
      </c>
      <c r="G5" s="17">
        <v>6</v>
      </c>
      <c r="H5" s="20">
        <v>7</v>
      </c>
      <c r="J5" t="s">
        <v>27</v>
      </c>
      <c r="K5" s="15">
        <v>4</v>
      </c>
    </row>
    <row r="6" spans="3:16" x14ac:dyDescent="0.25">
      <c r="D6" s="21" t="s">
        <v>6</v>
      </c>
      <c r="E6" s="16">
        <v>440</v>
      </c>
      <c r="F6" s="16">
        <f>E6*2</f>
        <v>880</v>
      </c>
      <c r="G6" s="16">
        <f>E6*4</f>
        <v>1760</v>
      </c>
      <c r="H6" s="22">
        <f>E6*8</f>
        <v>3520</v>
      </c>
      <c r="J6" t="s">
        <v>28</v>
      </c>
      <c r="K6">
        <f>(K4/4)/K5</f>
        <v>0.75</v>
      </c>
      <c r="L6" t="s">
        <v>5</v>
      </c>
    </row>
    <row r="7" spans="3:16" x14ac:dyDescent="0.25">
      <c r="D7" s="21" t="s">
        <v>21</v>
      </c>
      <c r="E7" s="16">
        <v>466</v>
      </c>
      <c r="F7" s="16">
        <f t="shared" ref="F7:F17" si="0">E7*2</f>
        <v>932</v>
      </c>
      <c r="G7" s="16">
        <f t="shared" ref="G7:G17" si="1">E7*4</f>
        <v>1864</v>
      </c>
      <c r="H7" s="22">
        <f t="shared" ref="H7:H17" si="2">E7*8</f>
        <v>3728</v>
      </c>
      <c r="J7" t="s">
        <v>36</v>
      </c>
      <c r="K7" s="9">
        <f>1/K6</f>
        <v>1.3333333333333333</v>
      </c>
      <c r="L7" t="s">
        <v>18</v>
      </c>
    </row>
    <row r="8" spans="3:16" x14ac:dyDescent="0.25">
      <c r="D8" s="21" t="s">
        <v>8</v>
      </c>
      <c r="E8" s="16">
        <v>494</v>
      </c>
      <c r="F8" s="16">
        <f t="shared" si="0"/>
        <v>988</v>
      </c>
      <c r="G8" s="16">
        <f t="shared" si="1"/>
        <v>1976</v>
      </c>
      <c r="H8" s="22">
        <f t="shared" si="2"/>
        <v>3952</v>
      </c>
      <c r="J8" t="s">
        <v>29</v>
      </c>
      <c r="K8" s="14">
        <v>1000</v>
      </c>
      <c r="L8" t="s">
        <v>31</v>
      </c>
    </row>
    <row r="9" spans="3:16" x14ac:dyDescent="0.25">
      <c r="D9" s="21" t="s">
        <v>9</v>
      </c>
      <c r="E9" s="16">
        <v>523</v>
      </c>
      <c r="F9" s="16">
        <f t="shared" si="0"/>
        <v>1046</v>
      </c>
      <c r="G9" s="16">
        <f t="shared" si="1"/>
        <v>2092</v>
      </c>
      <c r="H9" s="22">
        <f t="shared" si="2"/>
        <v>4184</v>
      </c>
      <c r="J9" t="s">
        <v>30</v>
      </c>
      <c r="K9" s="1">
        <f>((1000000/K8)/K7)/2</f>
        <v>375</v>
      </c>
    </row>
    <row r="10" spans="3:16" x14ac:dyDescent="0.25">
      <c r="D10" s="21" t="s">
        <v>22</v>
      </c>
      <c r="E10" s="16">
        <v>554</v>
      </c>
      <c r="F10" s="16">
        <f t="shared" si="0"/>
        <v>1108</v>
      </c>
      <c r="G10" s="16">
        <f t="shared" si="1"/>
        <v>2216</v>
      </c>
      <c r="H10" s="22">
        <f t="shared" si="2"/>
        <v>4432</v>
      </c>
    </row>
    <row r="11" spans="3:16" x14ac:dyDescent="0.25">
      <c r="D11" s="21" t="s">
        <v>11</v>
      </c>
      <c r="E11" s="16">
        <v>587</v>
      </c>
      <c r="F11" s="16">
        <f t="shared" si="0"/>
        <v>1174</v>
      </c>
      <c r="G11" s="16">
        <f t="shared" si="1"/>
        <v>2348</v>
      </c>
      <c r="H11" s="22">
        <f t="shared" si="2"/>
        <v>4696</v>
      </c>
      <c r="J11" s="29" t="s">
        <v>33</v>
      </c>
      <c r="K11" s="29"/>
      <c r="O11" s="9"/>
    </row>
    <row r="12" spans="3:16" x14ac:dyDescent="0.25">
      <c r="D12" s="21" t="s">
        <v>23</v>
      </c>
      <c r="E12" s="16">
        <v>622</v>
      </c>
      <c r="F12" s="16">
        <f t="shared" si="0"/>
        <v>1244</v>
      </c>
      <c r="G12" s="16">
        <f t="shared" si="1"/>
        <v>2488</v>
      </c>
      <c r="H12" s="22">
        <f t="shared" si="2"/>
        <v>4976</v>
      </c>
      <c r="J12" t="s">
        <v>34</v>
      </c>
      <c r="K12">
        <v>16</v>
      </c>
    </row>
    <row r="13" spans="3:16" x14ac:dyDescent="0.25">
      <c r="D13" s="21" t="s">
        <v>13</v>
      </c>
      <c r="E13" s="16">
        <v>659</v>
      </c>
      <c r="F13" s="16">
        <f t="shared" si="0"/>
        <v>1318</v>
      </c>
      <c r="G13" s="16">
        <f t="shared" si="1"/>
        <v>2636</v>
      </c>
      <c r="H13" s="22">
        <f t="shared" si="2"/>
        <v>5272</v>
      </c>
      <c r="J13" t="s">
        <v>37</v>
      </c>
      <c r="K13">
        <f>(K4*1000000/8)/K12</f>
        <v>93750</v>
      </c>
      <c r="L13" t="s">
        <v>39</v>
      </c>
      <c r="N13" t="s">
        <v>43</v>
      </c>
      <c r="O13">
        <v>160</v>
      </c>
      <c r="P13" t="s">
        <v>42</v>
      </c>
    </row>
    <row r="14" spans="3:16" x14ac:dyDescent="0.25">
      <c r="D14" s="21" t="s">
        <v>14</v>
      </c>
      <c r="E14" s="16">
        <v>698</v>
      </c>
      <c r="F14" s="16">
        <f t="shared" si="0"/>
        <v>1396</v>
      </c>
      <c r="G14" s="16">
        <f t="shared" si="1"/>
        <v>2792</v>
      </c>
      <c r="H14" s="22">
        <f t="shared" si="2"/>
        <v>5584</v>
      </c>
      <c r="J14" t="s">
        <v>35</v>
      </c>
      <c r="K14">
        <f>1000/K13</f>
        <v>1.0666666666666666E-2</v>
      </c>
      <c r="L14" t="s">
        <v>40</v>
      </c>
      <c r="N14" t="s">
        <v>44</v>
      </c>
      <c r="O14">
        <f>240000/O13</f>
        <v>1500</v>
      </c>
      <c r="P14" t="s">
        <v>40</v>
      </c>
    </row>
    <row r="15" spans="3:16" x14ac:dyDescent="0.25">
      <c r="D15" s="21" t="s">
        <v>25</v>
      </c>
      <c r="E15" s="16">
        <v>740</v>
      </c>
      <c r="F15" s="16">
        <f t="shared" si="0"/>
        <v>1480</v>
      </c>
      <c r="G15" s="16">
        <f t="shared" si="1"/>
        <v>2960</v>
      </c>
      <c r="H15" s="22">
        <f t="shared" si="2"/>
        <v>5920</v>
      </c>
      <c r="J15" t="s">
        <v>38</v>
      </c>
      <c r="K15">
        <v>68</v>
      </c>
      <c r="N15" t="s">
        <v>45</v>
      </c>
      <c r="O15">
        <f>O14/2</f>
        <v>750</v>
      </c>
      <c r="P15" t="s">
        <v>40</v>
      </c>
    </row>
    <row r="16" spans="3:16" x14ac:dyDescent="0.25">
      <c r="D16" s="21" t="s">
        <v>16</v>
      </c>
      <c r="E16" s="16">
        <v>784</v>
      </c>
      <c r="F16" s="16">
        <f t="shared" si="0"/>
        <v>1568</v>
      </c>
      <c r="G16" s="16">
        <f t="shared" si="1"/>
        <v>3136</v>
      </c>
      <c r="H16" s="22">
        <f t="shared" si="2"/>
        <v>6272</v>
      </c>
      <c r="J16" t="s">
        <v>41</v>
      </c>
      <c r="K16">
        <f>1000/((256-K15)*K14)</f>
        <v>498.6702127659575</v>
      </c>
      <c r="L16" t="s">
        <v>39</v>
      </c>
      <c r="N16" t="s">
        <v>46</v>
      </c>
      <c r="O16">
        <f>O14/4</f>
        <v>375</v>
      </c>
      <c r="P16" t="s">
        <v>40</v>
      </c>
    </row>
    <row r="17" spans="4:16" ht="15.75" thickBot="1" x14ac:dyDescent="0.3">
      <c r="D17" s="23" t="s">
        <v>24</v>
      </c>
      <c r="E17" s="24">
        <v>830</v>
      </c>
      <c r="F17" s="24">
        <f t="shared" si="0"/>
        <v>1660</v>
      </c>
      <c r="G17" s="24">
        <f t="shared" si="1"/>
        <v>3320</v>
      </c>
      <c r="H17" s="25">
        <f t="shared" si="2"/>
        <v>6640</v>
      </c>
      <c r="K17">
        <f>1000/K16</f>
        <v>2.0053333333333332</v>
      </c>
      <c r="L17" t="s">
        <v>40</v>
      </c>
      <c r="N17" t="s">
        <v>47</v>
      </c>
      <c r="O17">
        <f>O14/8</f>
        <v>187.5</v>
      </c>
      <c r="P17" t="s">
        <v>40</v>
      </c>
    </row>
  </sheetData>
  <mergeCells count="4">
    <mergeCell ref="C2:H2"/>
    <mergeCell ref="E4:H4"/>
    <mergeCell ref="J3:K3"/>
    <mergeCell ref="J11:K11"/>
  </mergeCells>
  <dataValidations count="2">
    <dataValidation type="list" errorStyle="information" showInputMessage="1" showErrorMessage="1" sqref="K5">
      <formula1>"1,2,4,8"</formula1>
    </dataValidation>
    <dataValidation type="list" allowBlank="1" showInputMessage="1" showErrorMessage="1" sqref="K12">
      <formula1>"1,2,4,8,16,32,64,128,256"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PWM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hmr</dc:creator>
  <cp:lastModifiedBy>hmr</cp:lastModifiedBy>
  <dcterms:created xsi:type="dcterms:W3CDTF">2015-08-23T02:09:19Z</dcterms:created>
  <dcterms:modified xsi:type="dcterms:W3CDTF">2015-09-02T20:56:03Z</dcterms:modified>
</cp:coreProperties>
</file>